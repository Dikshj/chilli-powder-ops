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<sst xmlns="http://schemas.openxmlformats.org/spreadsheetml/2006/main" count="48" uniqueCount="40">
  <si>
    <t xml:space="preserve">Mixing Operation — 8 Hour Shift: Actual vs Target Output</t>
  </si>
  <si>
    <t xml:space="preserve">Example dataset. Target = owner-stated ideal output per hour. Hours 1-3 met target; hours 4-8 did not, each with a supervisor-logged reason categorized under the 4M framework (Manpower, Process, Material, Machine).</t>
  </si>
  <si>
    <t xml:space="preserve">Hour</t>
  </si>
  <si>
    <t xml:space="preserve">Time window</t>
  </si>
  <si>
    <t xml:space="preserve">Target output (batches)</t>
  </si>
  <si>
    <t xml:space="preserve">Actual output (batches)</t>
  </si>
  <si>
    <t xml:space="preserve">Variance (batches)</t>
  </si>
  <si>
    <t xml:space="preserve">Variance %</t>
  </si>
  <si>
    <t xml:space="preserve">Target met?</t>
  </si>
  <si>
    <t xml:space="preserve">Supervisor reason</t>
  </si>
  <si>
    <t xml:space="preserve">Category (4M)</t>
  </si>
  <si>
    <t xml:space="preserve">06:00 - 07:00</t>
  </si>
  <si>
    <t xml:space="preserve">Manpower fully staffed, no issues</t>
  </si>
  <si>
    <t xml:space="preserve">-</t>
  </si>
  <si>
    <t xml:space="preserve">07:00 - 08:00</t>
  </si>
  <si>
    <t xml:space="preserve">Line running to standard</t>
  </si>
  <si>
    <t xml:space="preserve">08:00 - 09:00</t>
  </si>
  <si>
    <t xml:space="preserve">09:00 - 10:00</t>
  </si>
  <si>
    <t xml:space="preserve">One operator pulled for break coverage on adjacent line, mixer ran short-handed</t>
  </si>
  <si>
    <t xml:space="preserve">Manpower</t>
  </si>
  <si>
    <t xml:space="preserve">10:00 - 11:00</t>
  </si>
  <si>
    <t xml:space="preserve">Incoming flour batch tested high moisture; extra dry-mix time added before wet mix</t>
  </si>
  <si>
    <t xml:space="preserve">Material</t>
  </si>
  <si>
    <t xml:space="preserve">11:00 - 12:00</t>
  </si>
  <si>
    <t xml:space="preserve">Mixer motor overheated mid-shift; RPM reduced to prevent trip, cycle time increased</t>
  </si>
  <si>
    <t xml:space="preserve">Machine</t>
  </si>
  <si>
    <t xml:space="preserve">12:00 - 13:00</t>
  </si>
  <si>
    <t xml:space="preserve">Operator followed outdated mixing sequence (SOP not updated at station); one batch reworked</t>
  </si>
  <si>
    <t xml:space="preserve">Process</t>
  </si>
  <si>
    <t xml:space="preserve">13:00 - 14:00</t>
  </si>
  <si>
    <t xml:space="preserve">Two operators on lunch rotation overlap left mixer under-staffed for 20 minutes</t>
  </si>
  <si>
    <t xml:space="preserve">Shift totals</t>
  </si>
  <si>
    <t xml:space="preserve">Mismatch reasons by category (4M)</t>
  </si>
  <si>
    <t xml:space="preserve">Category</t>
  </si>
  <si>
    <t xml:space="preserve">Hours affected</t>
  </si>
  <si>
    <t xml:space="preserve">Batches short</t>
  </si>
  <si>
    <t xml:space="preserve">Legend</t>
  </si>
  <si>
    <t xml:space="preserve">Green row = target met | Red row = target not met</t>
  </si>
  <si>
    <t xml:space="preserve">Category colors: Manpower = blue, Process = purple, Material = amber, Machine = coral</t>
  </si>
  <si>
    <t xml:space="preserve">Target of 5 batches/hour is an example owner-stated ideal; replace with real plant standard.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</si>
</sst>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6E56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F6E5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C0DD97"/>
        <bgColor rgb="FFB5D4F4"/>
      </patternFill>
    </fill>
    <fill>
      <patternFill patternType="solid">
        <fgColor rgb="FFF7C1C1"/>
        <bgColor rgb="FFFAC775"/>
      </patternFill>
    </fill>
    <fill>
      <patternFill patternType="solid">
        <fgColor rgb="FFB5D4F4"/>
        <bgColor rgb="FFCECBF6"/>
      </patternFill>
    </fill>
    <fill>
      <patternFill patternType="solid">
        <fgColor rgb="FFFAC775"/>
        <bgColor rgb="FFF7C1C1"/>
      </patternFill>
    </fill>
    <fill>
      <patternFill patternType="solid">
        <fgColor rgb="FFF0997B"/>
        <bgColor rgb="FFFAC775"/>
      </patternFill>
    </fill>
    <fill>
      <patternFill patternType="solid">
        <fgColor rgb="FFCECBF6"/>
        <bgColor rgb="FFB5D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4B2A9"/>
      <rgbColor rgb="FF808080"/>
      <rgbColor rgb="FF9999FF"/>
      <rgbColor rgb="FF993366"/>
      <rgbColor rgb="FFFFFFCC"/>
      <rgbColor rgb="FFCCFFFF"/>
      <rgbColor rgb="FF660066"/>
      <rgbColor rgb="FFF0997B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DD97"/>
      <rgbColor rgb="FFFFFF99"/>
      <rgbColor rgb="FFB5D4F4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4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s">
        <v>11</v>
      </c>
      <c r="C5" s="4" t="n">
        <v>5</v>
      </c>
      <c r="D5" s="4" t="n">
        <v>5</v>
      </c>
      <c r="E5" s="4" t="n">
        <f aca="false">D5-C5</f>
        <v>0</v>
      </c>
      <c r="F5" s="6" t="n">
        <f aca="false">D5/C5-1</f>
        <v>0</v>
      </c>
      <c r="G5" s="4" t="str">
        <f aca="false">IF(D5&gt;=C5,"Yes","No")</f>
        <v>Yes</v>
      </c>
      <c r="H5" s="7" t="s">
        <v>12</v>
      </c>
      <c r="I5" s="8" t="s">
        <v>13</v>
      </c>
    </row>
    <row r="6" customFormat="false" ht="15" hidden="false" customHeight="false" outlineLevel="0" collapsed="false">
      <c r="A6" s="4" t="n">
        <v>2</v>
      </c>
      <c r="B6" s="5" t="s">
        <v>14</v>
      </c>
      <c r="C6" s="4" t="n">
        <v>5</v>
      </c>
      <c r="D6" s="4" t="n">
        <v>5</v>
      </c>
      <c r="E6" s="4" t="n">
        <f aca="false">D6-C6</f>
        <v>0</v>
      </c>
      <c r="F6" s="6" t="n">
        <f aca="false">D6/C6-1</f>
        <v>0</v>
      </c>
      <c r="G6" s="4" t="str">
        <f aca="false">IF(D6&gt;=C6,"Yes","No")</f>
        <v>Yes</v>
      </c>
      <c r="H6" s="7" t="s">
        <v>15</v>
      </c>
      <c r="I6" s="8" t="s">
        <v>13</v>
      </c>
    </row>
    <row r="7" customFormat="false" ht="15" hidden="false" customHeight="false" outlineLevel="0" collapsed="false">
      <c r="A7" s="4" t="n">
        <v>3</v>
      </c>
      <c r="B7" s="5" t="s">
        <v>16</v>
      </c>
      <c r="C7" s="4" t="n">
        <v>5</v>
      </c>
      <c r="D7" s="4" t="n">
        <v>5</v>
      </c>
      <c r="E7" s="4" t="n">
        <f aca="false">D7-C7</f>
        <v>0</v>
      </c>
      <c r="F7" s="6" t="n">
        <f aca="false">D7/C7-1</f>
        <v>0</v>
      </c>
      <c r="G7" s="4" t="str">
        <f aca="false">IF(D7&gt;=C7,"Yes","No")</f>
        <v>Yes</v>
      </c>
      <c r="H7" s="7" t="s">
        <v>15</v>
      </c>
      <c r="I7" s="8" t="s">
        <v>13</v>
      </c>
    </row>
    <row r="8" customFormat="false" ht="23.85" hidden="false" customHeight="false" outlineLevel="0" collapsed="false">
      <c r="A8" s="9" t="n">
        <v>4</v>
      </c>
      <c r="B8" s="10" t="s">
        <v>17</v>
      </c>
      <c r="C8" s="9" t="n">
        <v>5</v>
      </c>
      <c r="D8" s="9" t="n">
        <v>3</v>
      </c>
      <c r="E8" s="9" t="n">
        <f aca="false">D8-C8</f>
        <v>-2</v>
      </c>
      <c r="F8" s="11" t="n">
        <f aca="false">D8/C8-1</f>
        <v>-0.4</v>
      </c>
      <c r="G8" s="9" t="str">
        <f aca="false">IF(D8&gt;=C8,"Yes","No")</f>
        <v>No</v>
      </c>
      <c r="H8" s="7" t="s">
        <v>18</v>
      </c>
      <c r="I8" s="12" t="s">
        <v>19</v>
      </c>
    </row>
    <row r="9" customFormat="false" ht="23.85" hidden="false" customHeight="false" outlineLevel="0" collapsed="false">
      <c r="A9" s="9" t="n">
        <v>5</v>
      </c>
      <c r="B9" s="10" t="s">
        <v>20</v>
      </c>
      <c r="C9" s="9" t="n">
        <v>5</v>
      </c>
      <c r="D9" s="9" t="n">
        <v>3</v>
      </c>
      <c r="E9" s="9" t="n">
        <f aca="false">D9-C9</f>
        <v>-2</v>
      </c>
      <c r="F9" s="11" t="n">
        <f aca="false">D9/C9-1</f>
        <v>-0.4</v>
      </c>
      <c r="G9" s="9" t="str">
        <f aca="false">IF(D9&gt;=C9,"Yes","No")</f>
        <v>No</v>
      </c>
      <c r="H9" s="7" t="s">
        <v>21</v>
      </c>
      <c r="I9" s="13" t="s">
        <v>22</v>
      </c>
    </row>
    <row r="10" customFormat="false" ht="23.85" hidden="false" customHeight="false" outlineLevel="0" collapsed="false">
      <c r="A10" s="9" t="n">
        <v>6</v>
      </c>
      <c r="B10" s="10" t="s">
        <v>23</v>
      </c>
      <c r="C10" s="9" t="n">
        <v>5</v>
      </c>
      <c r="D10" s="9" t="n">
        <v>2</v>
      </c>
      <c r="E10" s="9" t="n">
        <f aca="false">D10-C10</f>
        <v>-3</v>
      </c>
      <c r="F10" s="11" t="n">
        <f aca="false">D10/C10-1</f>
        <v>-0.6</v>
      </c>
      <c r="G10" s="9" t="str">
        <f aca="false">IF(D10&gt;=C10,"Yes","No")</f>
        <v>No</v>
      </c>
      <c r="H10" s="7" t="s">
        <v>24</v>
      </c>
      <c r="I10" s="14" t="s">
        <v>25</v>
      </c>
    </row>
    <row r="11" customFormat="false" ht="23.85" hidden="false" customHeight="false" outlineLevel="0" collapsed="false">
      <c r="A11" s="9" t="n">
        <v>7</v>
      </c>
      <c r="B11" s="10" t="s">
        <v>26</v>
      </c>
      <c r="C11" s="9" t="n">
        <v>5</v>
      </c>
      <c r="D11" s="9" t="n">
        <v>3</v>
      </c>
      <c r="E11" s="9" t="n">
        <f aca="false">D11-C11</f>
        <v>-2</v>
      </c>
      <c r="F11" s="11" t="n">
        <f aca="false">D11/C11-1</f>
        <v>-0.4</v>
      </c>
      <c r="G11" s="9" t="str">
        <f aca="false">IF(D11&gt;=C11,"Yes","No")</f>
        <v>No</v>
      </c>
      <c r="H11" s="7" t="s">
        <v>27</v>
      </c>
      <c r="I11" s="15" t="s">
        <v>28</v>
      </c>
    </row>
    <row r="12" customFormat="false" ht="23.85" hidden="false" customHeight="false" outlineLevel="0" collapsed="false">
      <c r="A12" s="9" t="n">
        <v>8</v>
      </c>
      <c r="B12" s="10" t="s">
        <v>29</v>
      </c>
      <c r="C12" s="9" t="n">
        <v>5</v>
      </c>
      <c r="D12" s="9" t="n">
        <v>3</v>
      </c>
      <c r="E12" s="9" t="n">
        <f aca="false">D12-C12</f>
        <v>-2</v>
      </c>
      <c r="F12" s="11" t="n">
        <f aca="false">D12/C12-1</f>
        <v>-0.4</v>
      </c>
      <c r="G12" s="9" t="str">
        <f aca="false">IF(D12&gt;=C12,"Yes","No")</f>
        <v>No</v>
      </c>
      <c r="H12" s="7" t="s">
        <v>30</v>
      </c>
      <c r="I12" s="12" t="s">
        <v>19</v>
      </c>
    </row>
    <row r="14" customFormat="false" ht="15" hidden="false" customHeight="false" outlineLevel="0" collapsed="false">
      <c r="B14" s="16" t="s">
        <v>31</v>
      </c>
      <c r="C14" s="17" t="n">
        <f aca="false">SUM(C5:C12)</f>
        <v>40</v>
      </c>
      <c r="D14" s="17" t="n">
        <f aca="false">SUM(D5:D12)</f>
        <v>29</v>
      </c>
      <c r="E14" s="17" t="n">
        <f aca="false">D14-C14</f>
        <v>-11</v>
      </c>
      <c r="F14" s="18" t="n">
        <f aca="false">D14/C14-1</f>
        <v>-0.275</v>
      </c>
    </row>
    <row r="17" customFormat="false" ht="15" hidden="false" customHeight="false" outlineLevel="0" collapsed="false">
      <c r="B17" s="19" t="s">
        <v>32</v>
      </c>
    </row>
    <row r="18" customFormat="false" ht="15" hidden="false" customHeight="false" outlineLevel="0" collapsed="false">
      <c r="B18" s="20" t="s">
        <v>33</v>
      </c>
      <c r="C18" s="20" t="s">
        <v>34</v>
      </c>
      <c r="D18" s="20" t="s">
        <v>35</v>
      </c>
    </row>
    <row r="19" customFormat="false" ht="15" hidden="false" customHeight="false" outlineLevel="0" collapsed="false">
      <c r="B19" s="12" t="s">
        <v>19</v>
      </c>
      <c r="C19" s="8" t="n">
        <f aca="false">COUNTIF(I5:I12,B19)</f>
        <v>2</v>
      </c>
      <c r="D19" s="8" t="n">
        <f aca="false">SUMIFS(E5:E12,I5:I12,B19)*-1</f>
        <v>4</v>
      </c>
    </row>
    <row r="20" customFormat="false" ht="15" hidden="false" customHeight="false" outlineLevel="0" collapsed="false">
      <c r="B20" s="15" t="s">
        <v>28</v>
      </c>
      <c r="C20" s="8" t="n">
        <f aca="false">COUNTIF(I5:I12,B20)</f>
        <v>1</v>
      </c>
      <c r="D20" s="8" t="n">
        <f aca="false">SUMIFS(E5:E12,I5:I12,B20)*-1</f>
        <v>2</v>
      </c>
    </row>
    <row r="21" customFormat="false" ht="15" hidden="false" customHeight="false" outlineLevel="0" collapsed="false">
      <c r="B21" s="13" t="s">
        <v>22</v>
      </c>
      <c r="C21" s="8" t="n">
        <f aca="false">COUNTIF(I5:I12,B21)</f>
        <v>1</v>
      </c>
      <c r="D21" s="8" t="n">
        <f aca="false">SUMIFS(E5:E12,I5:I12,B21)*-1</f>
        <v>2</v>
      </c>
    </row>
    <row r="22" customFormat="false" ht="15" hidden="false" customHeight="false" outlineLevel="0" collapsed="false">
      <c r="B22" s="14" t="s">
        <v>25</v>
      </c>
      <c r="C22" s="8" t="n">
        <f aca="false">COUNTIF(I5:I12,B22)</f>
        <v>1</v>
      </c>
      <c r="D22" s="8" t="n">
        <f aca="false">SUMIFS(E5:E12,I5:I12,B22)*-1</f>
        <v>3</v>
      </c>
    </row>
    <row r="25" customFormat="false" ht="15" hidden="false" customHeight="false" outlineLevel="0" collapsed="false">
      <c r="B25" s="16" t="s">
        <v>36</v>
      </c>
    </row>
    <row r="26" customFormat="false" ht="15" hidden="false" customHeight="false" outlineLevel="0" collapsed="false">
      <c r="B26" s="21" t="s">
        <v>37</v>
      </c>
    </row>
    <row r="27" customFormat="false" ht="15" hidden="false" customHeight="false" outlineLevel="0" collapsed="false">
      <c r="B27" s="21" t="s">
        <v>38</v>
      </c>
    </row>
    <row r="28" customFormat="false" ht="15" hidden="false" customHeight="false" outlineLevel="0" collapsed="false">
      <c r="B28" s="21" t="s">
        <v>39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2026-09-06T04:14:56Z</dcterms:created>
  <dc:creator>openpyxl</dc:creator>
  <dc:description/>
  <dc:language>en-US</dc:language>
  <cp:lastModifiedBy/>
  <dcterms:modified xsi:type="dcterms:W3CDTF">2026-09-06T04:14:56Z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