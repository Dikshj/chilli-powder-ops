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lan" sheetId="2" state="visible" r:id="rId4"/>
    <sheet name="1_Output" sheetId="3" state="visible" r:id="rId5"/>
    <sheet name="2_Stops" sheetId="4" state="visible" r:id="rId6"/>
    <sheet name="3_Settings" sheetId="5" state="visible" r:id="rId7"/>
    <sheet name="4_Changes" sheetId="6" state="visible" r:id="rId8"/>
    <sheet name="5_Response" sheetId="7" state="visible" r:id="rId9"/>
    <sheet name="Shift_Summary" sheetId="8" state="visible" r:id="rId10"/>
    <sheet name="Answer_Key" sheetId="9" state="visible" r:id="rId11"/>
    <sheet name="List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<sst xmlns="http://schemas.openxmlformats.org/spreadsheetml/2006/main" count="1409" uniqueCount="263">
  <si>
    <t xml:space="preserve">Red Chilli Powder Plant: Floor Data Collection (3 areas)</t>
  </si>
  <si>
    <t xml:space="preserve">What this is</t>
  </si>
  <si>
    <t xml:space="preserve">One workbook the floor fills in during the shift for a red chilli powder line: Cleaning (destoner, stalk remover, aspirator), Grinding (hammer mill and 40 mesh sieve, measured as one) and Packing (2 pouch fillers, 200 g). The same five record sheets are used by every area. The tool reads them, compares them with the Plan and tells the floor what to do.</t>
  </si>
  <si>
    <t xml:space="preserve">Line pace</t>
  </si>
  <si>
    <t xml:space="preserve">Grinding sets the pace: 1,000 kg good powder per hour. Cleaning must deliver 1,031 kg cleaned chilli per hour (from about 1,090 kg raw at 95% yield; cleaner capacity 1,300 kg raw). Packing: 2 fillers at 40 pouches/min, target 4,704 good 200 g pouches per hour.</t>
  </si>
  <si>
    <t xml:space="preserve">Shift pattern</t>
  </si>
  <si>
    <t xml:space="preserve">General shift 9:00 AM to 5:00 PM: 15 min start up, lunch 1:00 to 1:30 PM (line stops), 20 min cleaning from 4:40. 415 run minutes.</t>
  </si>
  <si>
    <t xml:space="preserve">Units</t>
  </si>
  <si>
    <t xml:space="preserve">Metric: kg, g, °C, Pa (dust extraction suction), ASTA colour units.</t>
  </si>
  <si>
    <t xml:space="preserve">Five floor records</t>
  </si>
  <si>
    <t xml:space="preserve">1_Output (hourly), 2_Stops (every stop), 3_Settings (every check), 4_Changes (every change), 5_Response (every problem). Shift_Summary is calculated.</t>
  </si>
  <si>
    <t xml:space="preserve">Colour legend</t>
  </si>
  <si>
    <t xml:space="preserve">Blue text = entered on the floor. Black text = formula. Green text = pulled from the Plan. Yellow fill = owner standard.</t>
  </si>
  <si>
    <t xml:space="preserve">Test data</t>
  </si>
  <si>
    <t xml:space="preserve">Each area has one test shift with a planted problem: Cleaning on Mon 28 Sep, Grinding Wed 30 Sep, Packing Fri 2 Oct 2026. Answer_Key holds the expected finding. Do not feed Answer_Key to the LLM.</t>
  </si>
  <si>
    <t xml:space="preserve">Food safety note</t>
  </si>
  <si>
    <t xml:space="preserve">Chilli powder is a ready to eat product. Foreign matter, colour (ASTA) and seal integrity are both quality and FSSAI compliance points, so the LLM should treat them as hold decisions, not only output losses.</t>
  </si>
  <si>
    <t xml:space="preserve">Plan: owner standards (floor does not edit)</t>
  </si>
  <si>
    <t xml:space="preserve">A. Line standards</t>
  </si>
  <si>
    <t xml:space="preserve">Parameter</t>
  </si>
  <si>
    <t xml:space="preserve">Value</t>
  </si>
  <si>
    <t xml:space="preserve">Unit</t>
  </si>
  <si>
    <t xml:space="preserve">Grinding target (good powder)</t>
  </si>
  <si>
    <t xml:space="preserve">kg/hr</t>
  </si>
  <si>
    <t xml:space="preserve">Grinding yield (moisture, dust)</t>
  </si>
  <si>
    <t xml:space="preserve">%</t>
  </si>
  <si>
    <t xml:space="preserve">Cleaning yield (stalks, stones, dust removed)</t>
  </si>
  <si>
    <t xml:space="preserve">Cleaned chilli needed per hour</t>
  </si>
  <si>
    <t xml:space="preserve">Raw chilli feed needed</t>
  </si>
  <si>
    <t xml:space="preserve">Cleaner capacity (raw)</t>
  </si>
  <si>
    <t xml:space="preserve">Pouch size</t>
  </si>
  <si>
    <t xml:space="preserve">g</t>
  </si>
  <si>
    <t xml:space="preserve">Pouch fillers on line</t>
  </si>
  <si>
    <t xml:space="preserve">machines</t>
  </si>
  <si>
    <t xml:space="preserve">Filler target speed</t>
  </si>
  <si>
    <t xml:space="preserve">pouches/min per machine</t>
  </si>
  <si>
    <t xml:space="preserve">Packing yield</t>
  </si>
  <si>
    <t xml:space="preserve">Hammer set life</t>
  </si>
  <si>
    <t xml:space="preserve">run hours</t>
  </si>
  <si>
    <t xml:space="preserve">B. Shift schedule (general shift)</t>
  </si>
  <si>
    <t xml:space="preserve">Hour</t>
  </si>
  <si>
    <t xml:space="preserve">Available min</t>
  </si>
  <si>
    <t xml:space="preserve">Note</t>
  </si>
  <si>
    <t xml:space="preserve">9:00-10:00</t>
  </si>
  <si>
    <t xml:space="preserve">15 min start up</t>
  </si>
  <si>
    <t xml:space="preserve">10:00-11:00</t>
  </si>
  <si>
    <t xml:space="preserve">11:00-12:00</t>
  </si>
  <si>
    <t xml:space="preserve">12:00-1:00</t>
  </si>
  <si>
    <t xml:space="preserve">1:00-2:00</t>
  </si>
  <si>
    <t xml:space="preserve">Lunch 1:00 to 1:30</t>
  </si>
  <si>
    <t xml:space="preserve">2:00-3:00</t>
  </si>
  <si>
    <t xml:space="preserve">3:00-4:00</t>
  </si>
  <si>
    <t xml:space="preserve">4:00-5:00</t>
  </si>
  <si>
    <t xml:space="preserve">Cleaning from 4:40</t>
  </si>
  <si>
    <t xml:space="preserve">Total run minutes</t>
  </si>
  <si>
    <t xml:space="preserve">C. Output rate per area</t>
  </si>
  <si>
    <t xml:space="preserve">Stage</t>
  </si>
  <si>
    <t xml:space="preserve">Product</t>
  </si>
  <si>
    <t xml:space="preserve">Output unit</t>
  </si>
  <si>
    <t xml:space="preserve">Rate per full hour</t>
  </si>
  <si>
    <t xml:space="preserve">Key</t>
  </si>
  <si>
    <t xml:space="preserve">Cleaning</t>
  </si>
  <si>
    <t xml:space="preserve">Chilli powder</t>
  </si>
  <si>
    <t xml:space="preserve">kg cleaned chilli</t>
  </si>
  <si>
    <t xml:space="preserve">Grinding</t>
  </si>
  <si>
    <t xml:space="preserve">kg good powder</t>
  </si>
  <si>
    <t xml:space="preserve">Packing</t>
  </si>
  <si>
    <t xml:space="preserve">good 200 g pouches</t>
  </si>
  <si>
    <t xml:space="preserve">Cleaning target is what grinding needs, not cleaner capacity. All values are assumptions for a medium Indian chilli powder plant; replace with plant data.</t>
  </si>
  <si>
    <t xml:space="preserve">D. Critical setting spec limits</t>
  </si>
  <si>
    <t xml:space="preserve">Applies to</t>
  </si>
  <si>
    <t xml:space="preserve">Min</t>
  </si>
  <si>
    <t xml:space="preserve">Max</t>
  </si>
  <si>
    <t xml:space="preserve">Raw feed rate</t>
  </si>
  <si>
    <t xml:space="preserve">All</t>
  </si>
  <si>
    <t xml:space="preserve">Foreign matter and stalks in raw sample</t>
  </si>
  <si>
    <t xml:space="preserve">Reject bin since last check</t>
  </si>
  <si>
    <t xml:space="preserve">kg</t>
  </si>
  <si>
    <t xml:space="preserve">Cleaned chilli moisture</t>
  </si>
  <si>
    <t xml:space="preserve">Mill feed rate</t>
  </si>
  <si>
    <t xml:space="preserve">Mill motor load</t>
  </si>
  <si>
    <t xml:space="preserve">A</t>
  </si>
  <si>
    <t xml:space="preserve">Powder temp at mill outlet</t>
  </si>
  <si>
    <t xml:space="preserve">°C</t>
  </si>
  <si>
    <t xml:space="preserve">Sieve pass at 40 mesh</t>
  </si>
  <si>
    <t xml:space="preserve">Hammer set run hours</t>
  </si>
  <si>
    <t xml:space="preserve">hours</t>
  </si>
  <si>
    <t xml:space="preserve">Colour (ASTA, hourly QA)</t>
  </si>
  <si>
    <t xml:space="preserve">ASTA</t>
  </si>
  <si>
    <t xml:space="preserve">Dust extraction suction at filler</t>
  </si>
  <si>
    <t xml:space="preserve">Pa</t>
  </si>
  <si>
    <t xml:space="preserve">Seal jaw temp</t>
  </si>
  <si>
    <t xml:space="preserve">Filler speed</t>
  </si>
  <si>
    <t xml:space="preserve">pouches/min</t>
  </si>
  <si>
    <t xml:space="preserve">Avg pouch weight (10 pouches)</t>
  </si>
  <si>
    <t xml:space="preserve">Powder above 42 °C loses colour (ASTA). Reject bin holds 70 kg. Spec values are assumptions; the plant owner replaces them.</t>
  </si>
  <si>
    <t xml:space="preserve">Date</t>
  </si>
  <si>
    <t xml:space="preserve">Good Count</t>
  </si>
  <si>
    <t xml:space="preserve">Reject Count</t>
  </si>
  <si>
    <t xml:space="preserve">Available Min</t>
  </si>
  <si>
    <t xml:space="preserve">Target</t>
  </si>
  <si>
    <t xml:space="preserve">Variance</t>
  </si>
  <si>
    <t xml:space="preserve">% of Target</t>
  </si>
  <si>
    <t xml:space="preserve">Running Good</t>
  </si>
  <si>
    <t xml:space="preserve">Running Target</t>
  </si>
  <si>
    <t xml:space="preserve">Recorded By</t>
  </si>
  <si>
    <t xml:space="preserve">RS</t>
  </si>
  <si>
    <t xml:space="preserve">MK</t>
  </si>
  <si>
    <t xml:space="preserve">PD</t>
  </si>
  <si>
    <t xml:space="preserve">Units: Cleaning = kg cleaned chilli (reject = kg stalks, stones, dust removed), Grinding = kg good powder (reject = kg held by QA or swept), Packing = 200 g pouches (reject = leakers, weight rejects).</t>
  </si>
  <si>
    <t xml:space="preserve">Start</t>
  </si>
  <si>
    <t xml:space="preserve">End</t>
  </si>
  <si>
    <t xml:space="preserve">Minutes</t>
  </si>
  <si>
    <t xml:space="preserve">Stop Type</t>
  </si>
  <si>
    <t xml:space="preserve">4M Reason</t>
  </si>
  <si>
    <t xml:space="preserve">What Happened</t>
  </si>
  <si>
    <t xml:space="preserve">Minor stop</t>
  </si>
  <si>
    <t xml:space="preserve">Machine</t>
  </si>
  <si>
    <t xml:space="preserve">Destoner feed chute blocked, cleared</t>
  </si>
  <si>
    <t xml:space="preserve">Line blocked (buffer full)</t>
  </si>
  <si>
    <t xml:space="preserve">Material</t>
  </si>
  <si>
    <t xml:space="preserve">Reject bin overflowed, stopped feed and emptied bin</t>
  </si>
  <si>
    <t xml:space="preserve">Reject bin overflowed again, emptied</t>
  </si>
  <si>
    <t xml:space="preserve">Aspirator screen brushed</t>
  </si>
  <si>
    <t xml:space="preserve">Sieve blinded, brushed screen</t>
  </si>
  <si>
    <t xml:space="preserve">Sieve blinded, brushed screen, powder feels warm</t>
  </si>
  <si>
    <t xml:space="preserve">Breakdown</t>
  </si>
  <si>
    <t xml:space="preserve">Maintenance replacing hammer set (412 plus hours)</t>
  </si>
  <si>
    <t xml:space="preserve">Filler 1 jaws jammed, spice dust on film, cleaned</t>
  </si>
  <si>
    <t xml:space="preserve">Filler 2 jaws jammed, spice dust on film, cleaned</t>
  </si>
  <si>
    <t xml:space="preserve">Stopped both fillers to clean jaws after maintenance restored dust extraction</t>
  </si>
  <si>
    <t xml:space="preserve">Check Time</t>
  </si>
  <si>
    <t xml:space="preserve">Applies To</t>
  </si>
  <si>
    <t xml:space="preserve">Reading</t>
  </si>
  <si>
    <t xml:space="preserve">In Spec</t>
  </si>
  <si>
    <t xml:space="preserve">Time</t>
  </si>
  <si>
    <t xml:space="preserve">Change Type</t>
  </si>
  <si>
    <t xml:space="preserve">What Changed</t>
  </si>
  <si>
    <t xml:space="preserve">From</t>
  </si>
  <si>
    <t xml:space="preserve">To</t>
  </si>
  <si>
    <t xml:space="preserve">Changed By</t>
  </si>
  <si>
    <t xml:space="preserve">Standard Checked (spec, setup sheet or PM plan)</t>
  </si>
  <si>
    <t xml:space="preserve">Material lot</t>
  </si>
  <si>
    <t xml:space="preserve">Raw chilli lot</t>
  </si>
  <si>
    <t xml:space="preserve">RC-112 (Guntur Teja, graded)</t>
  </si>
  <si>
    <t xml:space="preserve">RC-118 (new supplier, ungraded)</t>
  </si>
  <si>
    <t xml:space="preserve">Stores</t>
  </si>
  <si>
    <t xml:space="preserve">N</t>
  </si>
  <si>
    <t xml:space="preserve">Receiving sample not tested for foreign matter</t>
  </si>
  <si>
    <t xml:space="preserve">Machine setting</t>
  </si>
  <si>
    <t xml:space="preserve">1,090 kg/hr</t>
  </si>
  <si>
    <t xml:space="preserve">950 kg/hr</t>
  </si>
  <si>
    <t xml:space="preserve">Operator RS</t>
  </si>
  <si>
    <t xml:space="preserve">Slowed to stop reject bin overflowing</t>
  </si>
  <si>
    <t xml:space="preserve">RC-118</t>
  </si>
  <si>
    <t xml:space="preserve">RC-112</t>
  </si>
  <si>
    <t xml:space="preserve">Shift lead</t>
  </si>
  <si>
    <t xml:space="preserve">Y</t>
  </si>
  <si>
    <t xml:space="preserve">RC-118 sent back to stores for re-sorting</t>
  </si>
  <si>
    <t xml:space="preserve">Maintenance deferred</t>
  </si>
  <si>
    <t xml:space="preserve">Hammer set replacement (PM)</t>
  </si>
  <si>
    <t xml:space="preserve">Due at 400 hours</t>
  </si>
  <si>
    <t xml:space="preserve">Deferred to Saturday</t>
  </si>
  <si>
    <t xml:space="preserve">Maintenance planner</t>
  </si>
  <si>
    <t xml:space="preserve">Hammer set at 412 hours at shift start</t>
  </si>
  <si>
    <t xml:space="preserve">1,030 kg/hr</t>
  </si>
  <si>
    <t xml:space="preserve">1,200 kg/hr</t>
  </si>
  <si>
    <t xml:space="preserve">Operator MK</t>
  </si>
  <si>
    <t xml:space="preserve">Raised to catch up on output</t>
  </si>
  <si>
    <t xml:space="preserve">QA</t>
  </si>
  <si>
    <t xml:space="preserve">QA held 12:00 to 1:00 powder for low colour</t>
  </si>
  <si>
    <t xml:space="preserve">Maintenance repair</t>
  </si>
  <si>
    <t xml:space="preserve">Hammer set</t>
  </si>
  <si>
    <t xml:space="preserve">412 hours, worn</t>
  </si>
  <si>
    <t xml:space="preserve">New set</t>
  </si>
  <si>
    <t xml:space="preserve">Maintenance</t>
  </si>
  <si>
    <t xml:space="preserve">Run hours reset to 0</t>
  </si>
  <si>
    <t xml:space="preserve">Compressor service</t>
  </si>
  <si>
    <t xml:space="preserve">Due</t>
  </si>
  <si>
    <t xml:space="preserve">Serviced</t>
  </si>
  <si>
    <t xml:space="preserve">NA</t>
  </si>
  <si>
    <t xml:space="preserve">Pulse jet air line to dust collector isolated during service</t>
  </si>
  <si>
    <t xml:space="preserve">158 °C</t>
  </si>
  <si>
    <t xml:space="preserve">175 °C</t>
  </si>
  <si>
    <t xml:space="preserve">Operator PD</t>
  </si>
  <si>
    <t xml:space="preserve">Raised to stop leakers</t>
  </si>
  <si>
    <t xml:space="preserve">40</t>
  </si>
  <si>
    <t xml:space="preserve">34</t>
  </si>
  <si>
    <t xml:space="preserve">Slowed to reduce jams</t>
  </si>
  <si>
    <t xml:space="preserve">Dust collector pulse jet air valve</t>
  </si>
  <si>
    <t xml:space="preserve">Closed</t>
  </si>
  <si>
    <t xml:space="preserve">Open, bags pulsed</t>
  </si>
  <si>
    <t xml:space="preserve">Found valve still closed after compressor service</t>
  </si>
  <si>
    <t xml:space="preserve">Seal jaw temp and filler speed</t>
  </si>
  <si>
    <t xml:space="preserve">175 °C, 34</t>
  </si>
  <si>
    <t xml:space="preserve">158 °C, 40</t>
  </si>
  <si>
    <t xml:space="preserve">Back to setup sheet</t>
  </si>
  <si>
    <t xml:space="preserve">Problem Seen</t>
  </si>
  <si>
    <t xml:space="preserve">Noticed At</t>
  </si>
  <si>
    <t xml:space="preserve">Escalated To</t>
  </si>
  <si>
    <t xml:space="preserve">Escalated At</t>
  </si>
  <si>
    <t xml:space="preserve">Action Taken</t>
  </si>
  <si>
    <t xml:space="preserve">Fixed At</t>
  </si>
  <si>
    <t xml:space="preserve">Worked?</t>
  </si>
  <si>
    <t xml:space="preserve">Minutes Noticed to Fixed</t>
  </si>
  <si>
    <t xml:space="preserve">Reject bin overflowing</t>
  </si>
  <si>
    <t xml:space="preserve">Emptied bin, slowed feed to 950 kg/hr</t>
  </si>
  <si>
    <t xml:space="preserve">Partly</t>
  </si>
  <si>
    <t xml:space="preserve">Switched back to graded lot RC-112, RC-118 sent for re-sorting</t>
  </si>
  <si>
    <t xml:space="preserve">Yes</t>
  </si>
  <si>
    <t xml:space="preserve">Output low, powder coarse</t>
  </si>
  <si>
    <t xml:space="preserve">Raised mill feed to 1,200 kg/hr</t>
  </si>
  <si>
    <t xml:space="preserve">No</t>
  </si>
  <si>
    <t xml:space="preserve">Colour ASTA low (found by QA)</t>
  </si>
  <si>
    <t xml:space="preserve">QA held powder, feed back to 1,030; hammer set replaced</t>
  </si>
  <si>
    <t xml:space="preserve">Leaking pouches, jaws jamming</t>
  </si>
  <si>
    <t xml:space="preserve">Raised seal temp to 175 °C, slowed to 34 per min</t>
  </si>
  <si>
    <t xml:space="preserve">Opened pulse jet valve on dust collector, cleaned jaws</t>
  </si>
  <si>
    <t xml:space="preserve">Shift Summary (calculated)</t>
  </si>
  <si>
    <t xml:space="preserve">Actual Good</t>
  </si>
  <si>
    <t xml:space="preserve">Rejects</t>
  </si>
  <si>
    <t xml:space="preserve">Stop Minutes</t>
  </si>
  <si>
    <t xml:space="preserve">Out of Spec Readings</t>
  </si>
  <si>
    <t xml:space="preserve">Missing Readings</t>
  </si>
  <si>
    <t xml:space="preserve">Changes Logged</t>
  </si>
  <si>
    <t xml:space="preserve">Changes Without Standard Check</t>
  </si>
  <si>
    <t xml:space="preserve">Actions That Did Not Fix It</t>
  </si>
  <si>
    <t xml:space="preserve">Avg Min Noticed to Fixed</t>
  </si>
  <si>
    <t xml:space="preserve">Grinding rejects include powder held by QA for low colour. Slow running shows as OUT on Raw feed rate and Filler speed.</t>
  </si>
  <si>
    <t xml:space="preserve">Answer Key: expected findings (do NOT feed to the LLM)</t>
  </si>
  <si>
    <t xml:space="preserve">Root cause</t>
  </si>
  <si>
    <t xml:space="preserve">First signal in the data</t>
  </si>
  <si>
    <t xml:space="preserve">Clue in 4_Changes</t>
  </si>
  <si>
    <t xml:space="preserve">Expected floor actions</t>
  </si>
  <si>
    <t xml:space="preserve">Escalate to</t>
  </si>
  <si>
    <t xml:space="preserve">New raw chilli lot RC-118 from an ungraded supplier carries 6 to 7% stalks and foreign matter (spec 2% max). Cleaning yield falls from 95% to about 87%, the reject bin overflows twice, and the operator slows the feed to 950 kg/hr, so grinding is starved.</t>
  </si>
  <si>
    <t xml:space="preserve">3_Settings at 11:00: foreign matter 4.0% OUT and reject bin 44 kg OUT, 20 min after the lot change.</t>
  </si>
  <si>
    <t xml:space="preserve">Raw lot RC-112 to RC-118 at 10:40 with Standard Checked = N (receiving sample not tested).</t>
  </si>
  <si>
    <t xml:space="preserve">Sample the raw lot at once; if foreign matter is above 2%, stop feeding it and switch back to the graded lot; send the bad lot for pre-sorting; add a second reject bin while running it; test receiving samples before issue.</t>
  </si>
  <si>
    <t xml:space="preserve">Shift lead, QA, stores</t>
  </si>
  <si>
    <t xml:space="preserve">Hammer set run past its 400 hour life (PM deferred). Worn hammers grind coarse: 40 mesh pass falls from 97% to below 90%, so output drops. The operator raises feed to 1,200 kg/hr to catch up, which overloads the mill and heats the powder to 46 to 49 °C. Colour falls to about 114 ASTA and QA holds an hour of powder.</t>
  </si>
  <si>
    <t xml:space="preserve">3_Settings: hammer hours 412 OUT from the first check at 9:30; sieve pass 94.5% OUT at 10:30, before the feed change.</t>
  </si>
  <si>
    <t xml:space="preserve">PM hammer replacement deferred at 9:00 with Standard Checked = N; feed raised to 1,200 at 11:15 (N).</t>
  </si>
  <si>
    <t xml:space="preserve">Do not raise feed to catch up on a worn mill; keep powder below 42 °C; call maintenance when pass drops below 95% with hammers past 400 h; ask QA to test colour before continuing; never defer a hammer PM without a plan.</t>
  </si>
  <si>
    <t xml:space="preserve">Maintenance, QA</t>
  </si>
  <si>
    <t xml:space="preserve">Pulse jet air to the dust collector was left isolated after a compressor service. Filter bags blind, suction at the fillers falls from 320 to about 140 Pa, spice dust settles on the film at the seal jaws, and leakers and jams rise. Raising seal temp to 175 °C and slowing to 34 per min treat the symptom and burn seals.</t>
  </si>
  <si>
    <t xml:space="preserve">3_Settings: dust extraction suction falling from 9:30 and OUT at 11:00; leakers start at the 11:30 check, 30 min later.</t>
  </si>
  <si>
    <t xml:space="preserve">Compressor service at 9:00 (pulse jet air isolated), then seal temp raised to 175 °C at 11:40 (N) and speed cut to 34 at 12:10 (N).</t>
  </si>
  <si>
    <t xml:space="preserve">Check suction at the filler every 30 min; if below 250 Pa call maintenance and check the dust collector, not the seal jaws; keep seal temp on the setup sheet; after any compressor work confirm all air lines are open.</t>
  </si>
  <si>
    <t xml:space="preserve">Stop type</t>
  </si>
  <si>
    <t xml:space="preserve">4M</t>
  </si>
  <si>
    <t xml:space="preserve">Change type</t>
  </si>
  <si>
    <t xml:space="preserve">Y/N</t>
  </si>
  <si>
    <t xml:space="preserve">Worked</t>
  </si>
  <si>
    <t xml:space="preserve">Man</t>
  </si>
  <si>
    <t xml:space="preserve">Changeover</t>
  </si>
  <si>
    <t xml:space="preserve">Method</t>
  </si>
  <si>
    <t xml:space="preserve">Person on station</t>
  </si>
  <si>
    <t xml:space="preserve">Process delay</t>
  </si>
  <si>
    <t xml:space="preserve">Quality hold</t>
  </si>
  <si>
    <t xml:space="preserve">Waiting (starved)</t>
  </si>
  <si>
    <t xml:space="preserve">Waiting (blocked)</t>
  </si>
  <si>
    <t xml:space="preserve">Supply out</t>
  </si>
</sst>
</file>

<file path=xl/styles.xml><?xml version="1.0" encoding="utf-8"?>
<styleSheet xmlns="http://schemas.openxmlformats.org/spreadsheetml/2006/main">
  <numFmts count="11">
    <numFmt numFmtId="164" formatCode="General"/>
    <numFmt numFmtId="165" formatCode="#,##0.0"/>
    <numFmt numFmtId="166" formatCode="0.0%"/>
    <numFmt numFmtId="167" formatCode="yyyy\-mm\-dd"/>
    <numFmt numFmtId="168" formatCode="#,##0"/>
    <numFmt numFmtId="169" formatCode="General"/>
    <numFmt numFmtId="170" formatCode="#,##0.0;[RED]\-#,##0.0"/>
    <numFmt numFmtId="171" formatCode="0%"/>
    <numFmt numFmtId="172" formatCode="h:mm\ AM/PM"/>
    <numFmt numFmtId="173" formatCode="0.0"/>
    <numFmt numFmtId="174"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name val="Arial"/>
      <family val="0"/>
      <charset val="1"/>
    </font>
    <font>
      <sz val="10"/>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DE9E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6" fontId="8" fillId="3"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69" fontId="10" fillId="0" borderId="1" xfId="0" applyFont="true" applyBorder="true" applyAlignment="true" applyProtection="false">
      <alignment horizontal="general" vertical="top" textRotation="0" wrapText="false" indent="0" shrinkToFit="false"/>
      <protection locked="true" hidden="false"/>
    </xf>
    <xf numFmtId="170" fontId="6" fillId="0" borderId="1" xfId="0" applyFont="true" applyBorder="true" applyAlignment="true" applyProtection="false">
      <alignment horizontal="general" vertical="top" textRotation="0" wrapText="false" indent="0" shrinkToFit="false"/>
      <protection locked="true" hidden="false"/>
    </xf>
    <xf numFmtId="171" fontId="6" fillId="0" borderId="1" xfId="0" applyFont="true" applyBorder="true" applyAlignment="true" applyProtection="false">
      <alignment horizontal="general" vertical="top" textRotation="0" wrapText="false" indent="0" shrinkToFit="false"/>
      <protection locked="true" hidden="false"/>
    </xf>
    <xf numFmtId="168" fontId="6" fillId="0" borderId="1" xfId="0" applyFont="true" applyBorder="true" applyAlignment="true" applyProtection="false">
      <alignment horizontal="general" vertical="top" textRotation="0" wrapText="false" indent="0" shrinkToFit="false"/>
      <protection locked="true" hidden="false"/>
    </xf>
    <xf numFmtId="172"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3" fontId="8" fillId="0" borderId="1" xfId="0" applyFont="true" applyBorder="true" applyAlignment="true" applyProtection="false">
      <alignment horizontal="general" vertical="top" textRotation="0" wrapText="false" indent="0" shrinkToFit="false"/>
      <protection locked="true" hidden="false"/>
    </xf>
    <xf numFmtId="174"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C00000"/>
      </font>
      <fill>
        <patternFill>
          <bgColor rgb="FFFDE9E7"/>
        </patternFill>
      </fill>
    </dxf>
    <dxf>
      <font>
        <name val="Arial"/>
        <charset val="1"/>
        <family val="0"/>
        <b val="1"/>
        <color rgb="FF9C5700"/>
      </font>
      <fill>
        <patternFill>
          <bgColor rgb="FFFFF2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DE9E7"/>
      <rgbColor rgb="FF99CCFF"/>
      <rgbColor rgb="FFFF99CC"/>
      <rgbColor rgb="FFCC99FF"/>
      <rgbColor rgb="FFFFCC99"/>
      <rgbColor rgb="FF3366FF"/>
      <rgbColor rgb="FF33CCCC"/>
      <rgbColor rgb="FF99CC00"/>
      <rgbColor rgb="FFFFCC00"/>
      <rgbColor rgb="FFBF8F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7.35" hidden="false" customHeight="false" outlineLevel="0" collapsed="false">
      <c r="A1" s="1" t="s">
        <v>0</v>
      </c>
    </row>
    <row r="3" customFormat="false" ht="35.05" hidden="false" customHeight="false" outlineLevel="0" collapsed="false">
      <c r="A3" s="2" t="s">
        <v>1</v>
      </c>
      <c r="B3" s="3" t="s">
        <v>2</v>
      </c>
    </row>
    <row r="4" customFormat="false" ht="35.05" hidden="false" customHeight="false" outlineLevel="0" collapsed="false">
      <c r="A4" s="2" t="s">
        <v>3</v>
      </c>
      <c r="B4" s="3" t="s">
        <v>4</v>
      </c>
    </row>
    <row r="5" customFormat="false" ht="23.85" hidden="false" customHeight="false" outlineLevel="0" collapsed="false">
      <c r="A5" s="2" t="s">
        <v>5</v>
      </c>
      <c r="B5" s="3" t="s">
        <v>6</v>
      </c>
    </row>
    <row r="6" customFormat="false" ht="15" hidden="false" customHeight="false" outlineLevel="0" collapsed="false">
      <c r="A6" s="2" t="s">
        <v>7</v>
      </c>
      <c r="B6" s="3" t="s">
        <v>8</v>
      </c>
    </row>
    <row r="7" customFormat="false" ht="23.85" hidden="false" customHeight="false" outlineLevel="0" collapsed="false">
      <c r="A7" s="2" t="s">
        <v>9</v>
      </c>
      <c r="B7" s="3" t="s">
        <v>10</v>
      </c>
    </row>
    <row r="8" customFormat="false" ht="15" hidden="false" customHeight="false" outlineLevel="0" collapsed="false">
      <c r="A8" s="2" t="s">
        <v>11</v>
      </c>
      <c r="B8" s="3" t="s">
        <v>12</v>
      </c>
    </row>
    <row r="9" customFormat="false" ht="23.85" hidden="false" customHeight="false" outlineLevel="0" collapsed="false">
      <c r="A9" s="2" t="s">
        <v>13</v>
      </c>
      <c r="B9" s="3" t="s">
        <v>14</v>
      </c>
    </row>
    <row r="10" customFormat="false" ht="23.85" hidden="false" customHeight="false" outlineLevel="0" collapsed="false">
      <c r="A10" s="2" t="s">
        <v>15</v>
      </c>
      <c r="B10"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16"/>
    <col collapsed="false" customWidth="true" hidden="false" outlineLevel="0" max="5" min="4" style="0" width="10"/>
    <col collapsed="false" customWidth="true" hidden="false" outlineLevel="0" max="6" min="6" style="0" width="12"/>
    <col collapsed="false" customWidth="true" hidden="false" outlineLevel="0" max="7" min="7" style="0" width="48"/>
  </cols>
  <sheetData>
    <row r="1" customFormat="false" ht="17.35" hidden="false" customHeight="false" outlineLevel="0" collapsed="false">
      <c r="A1" s="1" t="s">
        <v>17</v>
      </c>
    </row>
    <row r="3" customFormat="false" ht="15" hidden="false" customHeight="false" outlineLevel="0" collapsed="false">
      <c r="A3" s="4" t="s">
        <v>18</v>
      </c>
    </row>
    <row r="4" customFormat="false" ht="33.75" hidden="false" customHeight="true" outlineLevel="0" collapsed="false">
      <c r="A4" s="5" t="s">
        <v>19</v>
      </c>
      <c r="B4" s="5" t="s">
        <v>20</v>
      </c>
      <c r="C4" s="5" t="s">
        <v>21</v>
      </c>
    </row>
    <row r="5" customFormat="false" ht="15" hidden="false" customHeight="false" outlineLevel="0" collapsed="false">
      <c r="A5" s="6" t="s">
        <v>22</v>
      </c>
      <c r="B5" s="7" t="n">
        <v>1000</v>
      </c>
      <c r="C5" s="8" t="s">
        <v>23</v>
      </c>
    </row>
    <row r="6" customFormat="false" ht="15" hidden="false" customHeight="false" outlineLevel="0" collapsed="false">
      <c r="A6" s="6" t="s">
        <v>24</v>
      </c>
      <c r="B6" s="9" t="n">
        <v>0.97</v>
      </c>
      <c r="C6" s="8" t="s">
        <v>25</v>
      </c>
    </row>
    <row r="7" customFormat="false" ht="15" hidden="false" customHeight="false" outlineLevel="0" collapsed="false">
      <c r="A7" s="6" t="s">
        <v>26</v>
      </c>
      <c r="B7" s="9" t="n">
        <v>0.95</v>
      </c>
      <c r="C7" s="8" t="s">
        <v>25</v>
      </c>
    </row>
    <row r="8" customFormat="false" ht="15" hidden="false" customHeight="false" outlineLevel="0" collapsed="false">
      <c r="A8" s="6" t="s">
        <v>27</v>
      </c>
      <c r="B8" s="10" t="n">
        <f aca="false">B5/B6</f>
        <v>1030.92783505155</v>
      </c>
      <c r="C8" s="8" t="s">
        <v>23</v>
      </c>
    </row>
    <row r="9" customFormat="false" ht="15" hidden="false" customHeight="false" outlineLevel="0" collapsed="false">
      <c r="A9" s="6" t="s">
        <v>28</v>
      </c>
      <c r="B9" s="10" t="n">
        <f aca="false">B8/B7</f>
        <v>1085.1871947911</v>
      </c>
      <c r="C9" s="8" t="s">
        <v>23</v>
      </c>
    </row>
    <row r="10" customFormat="false" ht="15" hidden="false" customHeight="false" outlineLevel="0" collapsed="false">
      <c r="A10" s="6" t="s">
        <v>29</v>
      </c>
      <c r="B10" s="7" t="n">
        <v>1300</v>
      </c>
      <c r="C10" s="8" t="s">
        <v>23</v>
      </c>
    </row>
    <row r="11" customFormat="false" ht="15" hidden="false" customHeight="false" outlineLevel="0" collapsed="false">
      <c r="A11" s="8" t="s">
        <v>30</v>
      </c>
      <c r="B11" s="7" t="n">
        <v>200</v>
      </c>
      <c r="C11" s="8" t="s">
        <v>31</v>
      </c>
    </row>
    <row r="12" customFormat="false" ht="15" hidden="false" customHeight="false" outlineLevel="0" collapsed="false">
      <c r="A12" s="6" t="s">
        <v>32</v>
      </c>
      <c r="B12" s="7" t="n">
        <v>2</v>
      </c>
      <c r="C12" s="8" t="s">
        <v>33</v>
      </c>
    </row>
    <row r="13" customFormat="false" ht="23.85" hidden="false" customHeight="false" outlineLevel="0" collapsed="false">
      <c r="A13" s="8" t="s">
        <v>34</v>
      </c>
      <c r="B13" s="7" t="n">
        <v>40</v>
      </c>
      <c r="C13" s="6" t="s">
        <v>35</v>
      </c>
    </row>
    <row r="14" customFormat="false" ht="15" hidden="false" customHeight="false" outlineLevel="0" collapsed="false">
      <c r="A14" s="8" t="s">
        <v>36</v>
      </c>
      <c r="B14" s="9" t="n">
        <v>0.98</v>
      </c>
      <c r="C14" s="8" t="s">
        <v>25</v>
      </c>
    </row>
    <row r="15" customFormat="false" ht="15" hidden="false" customHeight="false" outlineLevel="0" collapsed="false">
      <c r="A15" s="8" t="s">
        <v>37</v>
      </c>
      <c r="B15" s="7" t="n">
        <v>400</v>
      </c>
      <c r="C15" s="8" t="s">
        <v>38</v>
      </c>
    </row>
    <row r="17" customFormat="false" ht="15" hidden="false" customHeight="false" outlineLevel="0" collapsed="false">
      <c r="A17" s="4" t="s">
        <v>39</v>
      </c>
    </row>
    <row r="18" customFormat="false" ht="33.75" hidden="false" customHeight="true" outlineLevel="0" collapsed="false">
      <c r="A18" s="5" t="s">
        <v>40</v>
      </c>
      <c r="B18" s="5" t="s">
        <v>41</v>
      </c>
      <c r="C18" s="5" t="s">
        <v>42</v>
      </c>
    </row>
    <row r="19" customFormat="false" ht="15" hidden="false" customHeight="false" outlineLevel="0" collapsed="false">
      <c r="A19" s="8" t="s">
        <v>43</v>
      </c>
      <c r="B19" s="11" t="n">
        <v>45</v>
      </c>
      <c r="C19" s="8" t="s">
        <v>44</v>
      </c>
    </row>
    <row r="20" customFormat="false" ht="15" hidden="false" customHeight="false" outlineLevel="0" collapsed="false">
      <c r="A20" s="8" t="s">
        <v>45</v>
      </c>
      <c r="B20" s="11" t="n">
        <v>60</v>
      </c>
      <c r="C20" s="8"/>
    </row>
    <row r="21" customFormat="false" ht="15" hidden="false" customHeight="false" outlineLevel="0" collapsed="false">
      <c r="A21" s="8" t="s">
        <v>46</v>
      </c>
      <c r="B21" s="11" t="n">
        <v>60</v>
      </c>
      <c r="C21" s="8"/>
    </row>
    <row r="22" customFormat="false" ht="15" hidden="false" customHeight="false" outlineLevel="0" collapsed="false">
      <c r="A22" s="8" t="s">
        <v>47</v>
      </c>
      <c r="B22" s="11" t="n">
        <v>60</v>
      </c>
      <c r="C22" s="8"/>
    </row>
    <row r="23" customFormat="false" ht="15" hidden="false" customHeight="false" outlineLevel="0" collapsed="false">
      <c r="A23" s="8" t="s">
        <v>48</v>
      </c>
      <c r="B23" s="11" t="n">
        <v>30</v>
      </c>
      <c r="C23" s="8" t="s">
        <v>49</v>
      </c>
    </row>
    <row r="24" customFormat="false" ht="15" hidden="false" customHeight="false" outlineLevel="0" collapsed="false">
      <c r="A24" s="8" t="s">
        <v>50</v>
      </c>
      <c r="B24" s="11" t="n">
        <v>60</v>
      </c>
      <c r="C24" s="8"/>
    </row>
    <row r="25" customFormat="false" ht="15" hidden="false" customHeight="false" outlineLevel="0" collapsed="false">
      <c r="A25" s="8" t="s">
        <v>51</v>
      </c>
      <c r="B25" s="11" t="n">
        <v>60</v>
      </c>
      <c r="C25" s="8"/>
    </row>
    <row r="26" customFormat="false" ht="15" hidden="false" customHeight="false" outlineLevel="0" collapsed="false">
      <c r="A26" s="8" t="s">
        <v>52</v>
      </c>
      <c r="B26" s="11" t="n">
        <v>40</v>
      </c>
      <c r="C26" s="8" t="s">
        <v>53</v>
      </c>
    </row>
    <row r="27" customFormat="false" ht="15" hidden="false" customHeight="false" outlineLevel="0" collapsed="false">
      <c r="A27" s="12" t="s">
        <v>54</v>
      </c>
      <c r="B27" s="12" t="n">
        <f aca="false">SUM(B19:B26)</f>
        <v>415</v>
      </c>
    </row>
    <row r="29" customFormat="false" ht="15" hidden="false" customHeight="false" outlineLevel="0" collapsed="false">
      <c r="A29" s="4" t="s">
        <v>55</v>
      </c>
    </row>
    <row r="30" customFormat="false" ht="33.75" hidden="false" customHeight="true" outlineLevel="0" collapsed="false">
      <c r="A30" s="5" t="s">
        <v>56</v>
      </c>
      <c r="B30" s="5" t="s">
        <v>57</v>
      </c>
      <c r="C30" s="5" t="s">
        <v>58</v>
      </c>
      <c r="D30" s="5" t="s">
        <v>59</v>
      </c>
      <c r="E30" s="5" t="s">
        <v>60</v>
      </c>
    </row>
    <row r="31" customFormat="false" ht="15" hidden="false" customHeight="false" outlineLevel="0" collapsed="false">
      <c r="A31" s="8" t="s">
        <v>61</v>
      </c>
      <c r="B31" s="8" t="s">
        <v>62</v>
      </c>
      <c r="C31" s="8" t="s">
        <v>63</v>
      </c>
      <c r="D31" s="10" t="n">
        <f aca="false">B8</f>
        <v>1030.92783505155</v>
      </c>
      <c r="E31" s="8" t="str">
        <f aca="false">A31&amp;"|"&amp;B31</f>
        <v>Cleaning|Chilli powder</v>
      </c>
    </row>
    <row r="32" customFormat="false" ht="15" hidden="false" customHeight="false" outlineLevel="0" collapsed="false">
      <c r="A32" s="8" t="s">
        <v>64</v>
      </c>
      <c r="B32" s="8" t="s">
        <v>62</v>
      </c>
      <c r="C32" s="8" t="s">
        <v>65</v>
      </c>
      <c r="D32" s="10" t="n">
        <f aca="false">B5</f>
        <v>1000</v>
      </c>
      <c r="E32" s="8" t="str">
        <f aca="false">A32&amp;"|"&amp;B32</f>
        <v>Grinding|Chilli powder</v>
      </c>
    </row>
    <row r="33" customFormat="false" ht="15" hidden="false" customHeight="false" outlineLevel="0" collapsed="false">
      <c r="A33" s="8" t="s">
        <v>66</v>
      </c>
      <c r="B33" s="8" t="s">
        <v>62</v>
      </c>
      <c r="C33" s="8" t="s">
        <v>67</v>
      </c>
      <c r="D33" s="10" t="n">
        <f aca="false">B12*B13*60*B14</f>
        <v>4704</v>
      </c>
      <c r="E33" s="8" t="str">
        <f aca="false">A33&amp;"|"&amp;B33</f>
        <v>Packing|Chilli powder</v>
      </c>
    </row>
    <row r="34" customFormat="false" ht="15" hidden="false" customHeight="false" outlineLevel="0" collapsed="false">
      <c r="A34" s="13" t="s">
        <v>68</v>
      </c>
    </row>
    <row r="36" customFormat="false" ht="15" hidden="false" customHeight="false" outlineLevel="0" collapsed="false">
      <c r="A36" s="4" t="s">
        <v>69</v>
      </c>
    </row>
    <row r="37" customFormat="false" ht="33.75" hidden="false" customHeight="true" outlineLevel="0" collapsed="false">
      <c r="A37" s="5" t="s">
        <v>56</v>
      </c>
      <c r="B37" s="5" t="s">
        <v>19</v>
      </c>
      <c r="C37" s="5" t="s">
        <v>70</v>
      </c>
      <c r="D37" s="5" t="s">
        <v>71</v>
      </c>
      <c r="E37" s="5" t="s">
        <v>72</v>
      </c>
      <c r="F37" s="5" t="s">
        <v>21</v>
      </c>
      <c r="G37" s="5" t="s">
        <v>60</v>
      </c>
    </row>
    <row r="38" customFormat="false" ht="15" hidden="false" customHeight="false" outlineLevel="0" collapsed="false">
      <c r="A38" s="8" t="s">
        <v>61</v>
      </c>
      <c r="B38" s="8" t="s">
        <v>73</v>
      </c>
      <c r="C38" s="8" t="s">
        <v>74</v>
      </c>
      <c r="D38" s="11" t="n">
        <v>1050</v>
      </c>
      <c r="E38" s="11" t="n">
        <v>1300</v>
      </c>
      <c r="F38" s="8" t="s">
        <v>23</v>
      </c>
      <c r="G38" s="8" t="str">
        <f aca="false">A38&amp;"|"&amp;B38&amp;"|"&amp;C38</f>
        <v>Cleaning|Raw feed rate|All</v>
      </c>
    </row>
    <row r="39" customFormat="false" ht="23.85" hidden="false" customHeight="false" outlineLevel="0" collapsed="false">
      <c r="A39" s="8" t="s">
        <v>61</v>
      </c>
      <c r="B39" s="6" t="s">
        <v>75</v>
      </c>
      <c r="C39" s="8" t="s">
        <v>74</v>
      </c>
      <c r="D39" s="11" t="n">
        <v>0</v>
      </c>
      <c r="E39" s="11" t="n">
        <v>2</v>
      </c>
      <c r="F39" s="8" t="s">
        <v>25</v>
      </c>
      <c r="G39" s="8" t="str">
        <f aca="false">A39&amp;"|"&amp;B39&amp;"|"&amp;C39</f>
        <v>Cleaning|Foreign matter and stalks in raw sample|All</v>
      </c>
    </row>
    <row r="40" customFormat="false" ht="15" hidden="false" customHeight="false" outlineLevel="0" collapsed="false">
      <c r="A40" s="8" t="s">
        <v>61</v>
      </c>
      <c r="B40" s="6" t="s">
        <v>76</v>
      </c>
      <c r="C40" s="8" t="s">
        <v>74</v>
      </c>
      <c r="D40" s="11" t="n">
        <v>0</v>
      </c>
      <c r="E40" s="11" t="n">
        <v>35</v>
      </c>
      <c r="F40" s="8" t="s">
        <v>77</v>
      </c>
      <c r="G40" s="8" t="str">
        <f aca="false">A40&amp;"|"&amp;B40&amp;"|"&amp;C40</f>
        <v>Cleaning|Reject bin since last check|All</v>
      </c>
    </row>
    <row r="41" customFormat="false" ht="15" hidden="false" customHeight="false" outlineLevel="0" collapsed="false">
      <c r="A41" s="8" t="s">
        <v>61</v>
      </c>
      <c r="B41" s="6" t="s">
        <v>78</v>
      </c>
      <c r="C41" s="8" t="s">
        <v>74</v>
      </c>
      <c r="D41" s="11" t="n">
        <v>8</v>
      </c>
      <c r="E41" s="11" t="n">
        <v>11</v>
      </c>
      <c r="F41" s="8" t="s">
        <v>25</v>
      </c>
      <c r="G41" s="8" t="str">
        <f aca="false">A41&amp;"|"&amp;B41&amp;"|"&amp;C41</f>
        <v>Cleaning|Cleaned chilli moisture|All</v>
      </c>
    </row>
    <row r="42" customFormat="false" ht="15" hidden="false" customHeight="false" outlineLevel="0" collapsed="false">
      <c r="A42" s="8" t="s">
        <v>64</v>
      </c>
      <c r="B42" s="8" t="s">
        <v>79</v>
      </c>
      <c r="C42" s="8" t="s">
        <v>74</v>
      </c>
      <c r="D42" s="11" t="n">
        <v>1000</v>
      </c>
      <c r="E42" s="11" t="n">
        <v>1060</v>
      </c>
      <c r="F42" s="8" t="s">
        <v>23</v>
      </c>
      <c r="G42" s="8" t="str">
        <f aca="false">A42&amp;"|"&amp;B42&amp;"|"&amp;C42</f>
        <v>Grinding|Mill feed rate|All</v>
      </c>
    </row>
    <row r="43" customFormat="false" ht="15" hidden="false" customHeight="false" outlineLevel="0" collapsed="false">
      <c r="A43" s="8" t="s">
        <v>64</v>
      </c>
      <c r="B43" s="8" t="s">
        <v>80</v>
      </c>
      <c r="C43" s="8" t="s">
        <v>74</v>
      </c>
      <c r="D43" s="11" t="n">
        <v>80</v>
      </c>
      <c r="E43" s="11" t="n">
        <v>95</v>
      </c>
      <c r="F43" s="8" t="s">
        <v>81</v>
      </c>
      <c r="G43" s="8" t="str">
        <f aca="false">A43&amp;"|"&amp;B43&amp;"|"&amp;C43</f>
        <v>Grinding|Mill motor load|All</v>
      </c>
    </row>
    <row r="44" customFormat="false" ht="15" hidden="false" customHeight="false" outlineLevel="0" collapsed="false">
      <c r="A44" s="8" t="s">
        <v>64</v>
      </c>
      <c r="B44" s="6" t="s">
        <v>82</v>
      </c>
      <c r="C44" s="8" t="s">
        <v>74</v>
      </c>
      <c r="D44" s="11" t="n">
        <v>30</v>
      </c>
      <c r="E44" s="11" t="n">
        <v>42</v>
      </c>
      <c r="F44" s="8" t="s">
        <v>83</v>
      </c>
      <c r="G44" s="8" t="str">
        <f aca="false">A44&amp;"|"&amp;B44&amp;"|"&amp;C44</f>
        <v>Grinding|Powder temp at mill outlet|All</v>
      </c>
    </row>
    <row r="45" customFormat="false" ht="15" hidden="false" customHeight="false" outlineLevel="0" collapsed="false">
      <c r="A45" s="8" t="s">
        <v>64</v>
      </c>
      <c r="B45" s="6" t="s">
        <v>84</v>
      </c>
      <c r="C45" s="8" t="s">
        <v>74</v>
      </c>
      <c r="D45" s="11" t="n">
        <v>95</v>
      </c>
      <c r="E45" s="11" t="n">
        <v>100</v>
      </c>
      <c r="F45" s="8" t="s">
        <v>25</v>
      </c>
      <c r="G45" s="8" t="str">
        <f aca="false">A45&amp;"|"&amp;B45&amp;"|"&amp;C45</f>
        <v>Grinding|Sieve pass at 40 mesh|All</v>
      </c>
    </row>
    <row r="46" customFormat="false" ht="15" hidden="false" customHeight="false" outlineLevel="0" collapsed="false">
      <c r="A46" s="8" t="s">
        <v>64</v>
      </c>
      <c r="B46" s="8" t="s">
        <v>85</v>
      </c>
      <c r="C46" s="8" t="s">
        <v>74</v>
      </c>
      <c r="D46" s="11" t="n">
        <v>0</v>
      </c>
      <c r="E46" s="11" t="n">
        <v>400</v>
      </c>
      <c r="F46" s="8" t="s">
        <v>86</v>
      </c>
      <c r="G46" s="8" t="str">
        <f aca="false">A46&amp;"|"&amp;B46&amp;"|"&amp;C46</f>
        <v>Grinding|Hammer set run hours|All</v>
      </c>
    </row>
    <row r="47" customFormat="false" ht="15" hidden="false" customHeight="false" outlineLevel="0" collapsed="false">
      <c r="A47" s="8" t="s">
        <v>64</v>
      </c>
      <c r="B47" s="6" t="s">
        <v>87</v>
      </c>
      <c r="C47" s="8" t="s">
        <v>74</v>
      </c>
      <c r="D47" s="11" t="n">
        <v>120</v>
      </c>
      <c r="E47" s="11" t="n">
        <v>180</v>
      </c>
      <c r="F47" s="8" t="s">
        <v>88</v>
      </c>
      <c r="G47" s="8" t="str">
        <f aca="false">A47&amp;"|"&amp;B47&amp;"|"&amp;C47</f>
        <v>Grinding|Colour (ASTA, hourly QA)|All</v>
      </c>
    </row>
    <row r="48" customFormat="false" ht="15" hidden="false" customHeight="false" outlineLevel="0" collapsed="false">
      <c r="A48" s="8" t="s">
        <v>66</v>
      </c>
      <c r="B48" s="6" t="s">
        <v>89</v>
      </c>
      <c r="C48" s="8" t="s">
        <v>74</v>
      </c>
      <c r="D48" s="11" t="n">
        <v>250</v>
      </c>
      <c r="E48" s="11" t="n">
        <v>400</v>
      </c>
      <c r="F48" s="8" t="s">
        <v>90</v>
      </c>
      <c r="G48" s="8" t="str">
        <f aca="false">A48&amp;"|"&amp;B48&amp;"|"&amp;C48</f>
        <v>Packing|Dust extraction suction at filler|All</v>
      </c>
    </row>
    <row r="49" customFormat="false" ht="15" hidden="false" customHeight="false" outlineLevel="0" collapsed="false">
      <c r="A49" s="8" t="s">
        <v>66</v>
      </c>
      <c r="B49" s="8" t="s">
        <v>91</v>
      </c>
      <c r="C49" s="8" t="s">
        <v>74</v>
      </c>
      <c r="D49" s="11" t="n">
        <v>150</v>
      </c>
      <c r="E49" s="11" t="n">
        <v>165</v>
      </c>
      <c r="F49" s="8" t="s">
        <v>83</v>
      </c>
      <c r="G49" s="8" t="str">
        <f aca="false">A49&amp;"|"&amp;B49&amp;"|"&amp;C49</f>
        <v>Packing|Seal jaw temp|All</v>
      </c>
    </row>
    <row r="50" customFormat="false" ht="15" hidden="false" customHeight="false" outlineLevel="0" collapsed="false">
      <c r="A50" s="8" t="s">
        <v>66</v>
      </c>
      <c r="B50" s="8" t="s">
        <v>92</v>
      </c>
      <c r="C50" s="8" t="s">
        <v>74</v>
      </c>
      <c r="D50" s="11" t="n">
        <v>38</v>
      </c>
      <c r="E50" s="11" t="n">
        <v>42</v>
      </c>
      <c r="F50" s="8" t="s">
        <v>93</v>
      </c>
      <c r="G50" s="8" t="str">
        <f aca="false">A50&amp;"|"&amp;B50&amp;"|"&amp;C50</f>
        <v>Packing|Filler speed|All</v>
      </c>
    </row>
    <row r="51" customFormat="false" ht="15" hidden="false" customHeight="false" outlineLevel="0" collapsed="false">
      <c r="A51" s="8" t="s">
        <v>66</v>
      </c>
      <c r="B51" s="6" t="s">
        <v>94</v>
      </c>
      <c r="C51" s="8" t="s">
        <v>74</v>
      </c>
      <c r="D51" s="11" t="n">
        <v>200</v>
      </c>
      <c r="E51" s="11" t="n">
        <v>203</v>
      </c>
      <c r="F51" s="8" t="s">
        <v>31</v>
      </c>
      <c r="G51" s="8" t="str">
        <f aca="false">A51&amp;"|"&amp;B51&amp;"|"&amp;C51</f>
        <v>Packing|Avg pouch weight (10 pouches)|All</v>
      </c>
    </row>
    <row r="52" customFormat="false" ht="15" hidden="false" customHeight="false" outlineLevel="0" collapsed="false">
      <c r="A52" s="13"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2"/>
    <col collapsed="false" customWidth="true" hidden="false" outlineLevel="0" max="4" min="4" style="0" width="13"/>
    <col collapsed="false" customWidth="true" hidden="false" outlineLevel="0" max="9" min="5" style="0" width="10"/>
    <col collapsed="false" customWidth="true" hidden="false" outlineLevel="0" max="10" min="10" style="0" width="9"/>
    <col collapsed="false" customWidth="true" hidden="false" outlineLevel="0" max="12" min="11" style="0" width="11"/>
    <col collapsed="false" customWidth="true" hidden="false" outlineLevel="0" max="13" min="13" style="0" width="10"/>
  </cols>
  <sheetData>
    <row r="1" customFormat="false" ht="33.75" hidden="false" customHeight="true" outlineLevel="0" collapsed="false">
      <c r="A1" s="5" t="s">
        <v>96</v>
      </c>
      <c r="B1" s="5" t="s">
        <v>56</v>
      </c>
      <c r="C1" s="5" t="s">
        <v>40</v>
      </c>
      <c r="D1" s="5" t="s">
        <v>57</v>
      </c>
      <c r="E1" s="5" t="s">
        <v>97</v>
      </c>
      <c r="F1" s="5" t="s">
        <v>98</v>
      </c>
      <c r="G1" s="5" t="s">
        <v>99</v>
      </c>
      <c r="H1" s="5" t="s">
        <v>100</v>
      </c>
      <c r="I1" s="5" t="s">
        <v>101</v>
      </c>
      <c r="J1" s="5" t="s">
        <v>102</v>
      </c>
      <c r="K1" s="5" t="s">
        <v>103</v>
      </c>
      <c r="L1" s="5" t="s">
        <v>104</v>
      </c>
      <c r="M1" s="5" t="s">
        <v>105</v>
      </c>
    </row>
    <row r="2" customFormat="false" ht="15" hidden="false" customHeight="false" outlineLevel="0" collapsed="false">
      <c r="A2" s="14" t="n">
        <v>46293</v>
      </c>
      <c r="B2" s="15" t="s">
        <v>61</v>
      </c>
      <c r="C2" s="15" t="s">
        <v>43</v>
      </c>
      <c r="D2" s="15" t="s">
        <v>62</v>
      </c>
      <c r="E2" s="16" t="n">
        <v>771</v>
      </c>
      <c r="F2" s="16" t="n">
        <v>41</v>
      </c>
      <c r="G2" s="17" t="n">
        <f aca="false">INDEX(Plan!$B$19:$B$26,MATCH(C2,Plan!$A$19:$A$26,0))</f>
        <v>45</v>
      </c>
      <c r="H2" s="10" t="n">
        <f aca="false">G2/60*INDEX(Plan!$D$31:$D$33,MATCH(B2&amp;"|"&amp;D2,Plan!$E$31:$E$33,0))</f>
        <v>773.19587628866</v>
      </c>
      <c r="I2" s="18" t="n">
        <f aca="false">E2-H2</f>
        <v>-2.19587628865986</v>
      </c>
      <c r="J2" s="19" t="n">
        <f aca="false">IF(H2=0,"",E2/H2)</f>
        <v>0.99716</v>
      </c>
      <c r="K2" s="20" t="n">
        <f aca="false">SUMIFS($E$2:E2,$B$2:B2,B2,$A$2:A2,A2)</f>
        <v>771</v>
      </c>
      <c r="L2" s="10" t="n">
        <f aca="false">SUMIFS($H$2:H2,$B$2:B2,B2,$A$2:A2,A2)</f>
        <v>773.19587628866</v>
      </c>
      <c r="M2" s="15" t="s">
        <v>106</v>
      </c>
    </row>
    <row r="3" customFormat="false" ht="15" hidden="false" customHeight="false" outlineLevel="0" collapsed="false">
      <c r="A3" s="14" t="n">
        <v>46293</v>
      </c>
      <c r="B3" s="15" t="s">
        <v>61</v>
      </c>
      <c r="C3" s="15" t="s">
        <v>45</v>
      </c>
      <c r="D3" s="15" t="s">
        <v>62</v>
      </c>
      <c r="E3" s="16" t="n">
        <v>1013</v>
      </c>
      <c r="F3" s="16" t="n">
        <v>71</v>
      </c>
      <c r="G3" s="17" t="n">
        <f aca="false">INDEX(Plan!$B$19:$B$26,MATCH(C3,Plan!$A$19:$A$26,0))</f>
        <v>60</v>
      </c>
      <c r="H3" s="10" t="n">
        <f aca="false">G3/60*INDEX(Plan!$D$31:$D$33,MATCH(B3&amp;"|"&amp;D3,Plan!$E$31:$E$33,0))</f>
        <v>1030.92783505155</v>
      </c>
      <c r="I3" s="18" t="n">
        <f aca="false">E3-H3</f>
        <v>-17.9278350515465</v>
      </c>
      <c r="J3" s="19" t="n">
        <f aca="false">IF(H3=0,"",E3/H3)</f>
        <v>0.98261</v>
      </c>
      <c r="K3" s="20" t="n">
        <f aca="false">SUMIFS($E$2:E3,$B$2:B3,B3,$A$2:A3,A3)</f>
        <v>1784</v>
      </c>
      <c r="L3" s="10" t="n">
        <f aca="false">SUMIFS($H$2:H3,$B$2:B3,B3,$A$2:A3,A3)</f>
        <v>1804.12371134021</v>
      </c>
      <c r="M3" s="15" t="s">
        <v>106</v>
      </c>
    </row>
    <row r="4" customFormat="false" ht="15" hidden="false" customHeight="false" outlineLevel="0" collapsed="false">
      <c r="A4" s="14" t="n">
        <v>46293</v>
      </c>
      <c r="B4" s="15" t="s">
        <v>61</v>
      </c>
      <c r="C4" s="15" t="s">
        <v>46</v>
      </c>
      <c r="D4" s="15" t="s">
        <v>62</v>
      </c>
      <c r="E4" s="16" t="n">
        <v>731</v>
      </c>
      <c r="F4" s="16" t="n">
        <v>105</v>
      </c>
      <c r="G4" s="17" t="n">
        <f aca="false">INDEX(Plan!$B$19:$B$26,MATCH(C4,Plan!$A$19:$A$26,0))</f>
        <v>60</v>
      </c>
      <c r="H4" s="10" t="n">
        <f aca="false">G4/60*INDEX(Plan!$D$31:$D$33,MATCH(B4&amp;"|"&amp;D4,Plan!$E$31:$E$33,0))</f>
        <v>1030.92783505155</v>
      </c>
      <c r="I4" s="18" t="n">
        <f aca="false">E4-H4</f>
        <v>-299.927835051547</v>
      </c>
      <c r="J4" s="19" t="n">
        <f aca="false">IF(H4=0,"",E4/H4)</f>
        <v>0.70907</v>
      </c>
      <c r="K4" s="20" t="n">
        <f aca="false">SUMIFS($E$2:E4,$B$2:B4,B4,$A$2:A4,A4)</f>
        <v>2515</v>
      </c>
      <c r="L4" s="10" t="n">
        <f aca="false">SUMIFS($H$2:H4,$B$2:B4,B4,$A$2:A4,A4)</f>
        <v>2835.05154639175</v>
      </c>
      <c r="M4" s="15" t="s">
        <v>106</v>
      </c>
    </row>
    <row r="5" customFormat="false" ht="15" hidden="false" customHeight="false" outlineLevel="0" collapsed="false">
      <c r="A5" s="14" t="n">
        <v>46293</v>
      </c>
      <c r="B5" s="15" t="s">
        <v>61</v>
      </c>
      <c r="C5" s="15" t="s">
        <v>47</v>
      </c>
      <c r="D5" s="15" t="s">
        <v>62</v>
      </c>
      <c r="E5" s="16" t="n">
        <v>696</v>
      </c>
      <c r="F5" s="16" t="n">
        <v>98</v>
      </c>
      <c r="G5" s="17" t="n">
        <f aca="false">INDEX(Plan!$B$19:$B$26,MATCH(C5,Plan!$A$19:$A$26,0))</f>
        <v>60</v>
      </c>
      <c r="H5" s="10" t="n">
        <f aca="false">G5/60*INDEX(Plan!$D$31:$D$33,MATCH(B5&amp;"|"&amp;D5,Plan!$E$31:$E$33,0))</f>
        <v>1030.92783505155</v>
      </c>
      <c r="I5" s="18" t="n">
        <f aca="false">E5-H5</f>
        <v>-334.927835051547</v>
      </c>
      <c r="J5" s="19" t="n">
        <f aca="false">IF(H5=0,"",E5/H5)</f>
        <v>0.67512</v>
      </c>
      <c r="K5" s="20" t="n">
        <f aca="false">SUMIFS($E$2:E5,$B$2:B5,B5,$A$2:A5,A5)</f>
        <v>3211</v>
      </c>
      <c r="L5" s="10" t="n">
        <f aca="false">SUMIFS($H$2:H5,$B$2:B5,B5,$A$2:A5,A5)</f>
        <v>3865.9793814433</v>
      </c>
      <c r="M5" s="15" t="s">
        <v>106</v>
      </c>
    </row>
    <row r="6" customFormat="false" ht="15" hidden="false" customHeight="false" outlineLevel="0" collapsed="false">
      <c r="A6" s="14" t="n">
        <v>46293</v>
      </c>
      <c r="B6" s="15" t="s">
        <v>61</v>
      </c>
      <c r="C6" s="15" t="s">
        <v>48</v>
      </c>
      <c r="D6" s="15" t="s">
        <v>62</v>
      </c>
      <c r="E6" s="16" t="n">
        <v>520</v>
      </c>
      <c r="F6" s="16" t="n">
        <v>27</v>
      </c>
      <c r="G6" s="17" t="n">
        <f aca="false">INDEX(Plan!$B$19:$B$26,MATCH(C6,Plan!$A$19:$A$26,0))</f>
        <v>30</v>
      </c>
      <c r="H6" s="10" t="n">
        <f aca="false">G6/60*INDEX(Plan!$D$31:$D$33,MATCH(B6&amp;"|"&amp;D6,Plan!$E$31:$E$33,0))</f>
        <v>515.463917525773</v>
      </c>
      <c r="I6" s="18" t="n">
        <f aca="false">E6-H6</f>
        <v>4.53608247422676</v>
      </c>
      <c r="J6" s="19" t="n">
        <f aca="false">IF(H6=0,"",E6/H6)</f>
        <v>1.0088</v>
      </c>
      <c r="K6" s="20" t="n">
        <f aca="false">SUMIFS($E$2:E6,$B$2:B6,B6,$A$2:A6,A6)</f>
        <v>3731</v>
      </c>
      <c r="L6" s="10" t="n">
        <f aca="false">SUMIFS($H$2:H6,$B$2:B6,B6,$A$2:A6,A6)</f>
        <v>4381.44329896907</v>
      </c>
      <c r="M6" s="15" t="s">
        <v>106</v>
      </c>
    </row>
    <row r="7" customFormat="false" ht="15" hidden="false" customHeight="false" outlineLevel="0" collapsed="false">
      <c r="A7" s="14" t="n">
        <v>46293</v>
      </c>
      <c r="B7" s="15" t="s">
        <v>61</v>
      </c>
      <c r="C7" s="15" t="s">
        <v>50</v>
      </c>
      <c r="D7" s="15" t="s">
        <v>62</v>
      </c>
      <c r="E7" s="16" t="n">
        <v>1028</v>
      </c>
      <c r="F7" s="16" t="n">
        <v>56</v>
      </c>
      <c r="G7" s="17" t="n">
        <f aca="false">INDEX(Plan!$B$19:$B$26,MATCH(C7,Plan!$A$19:$A$26,0))</f>
        <v>60</v>
      </c>
      <c r="H7" s="10" t="n">
        <f aca="false">G7/60*INDEX(Plan!$D$31:$D$33,MATCH(B7&amp;"|"&amp;D7,Plan!$E$31:$E$33,0))</f>
        <v>1030.92783505155</v>
      </c>
      <c r="I7" s="18" t="n">
        <f aca="false">E7-H7</f>
        <v>-2.92783505154648</v>
      </c>
      <c r="J7" s="19" t="n">
        <f aca="false">IF(H7=0,"",E7/H7)</f>
        <v>0.99716</v>
      </c>
      <c r="K7" s="20" t="n">
        <f aca="false">SUMIFS($E$2:E7,$B$2:B7,B7,$A$2:A7,A7)</f>
        <v>4759</v>
      </c>
      <c r="L7" s="10" t="n">
        <f aca="false">SUMIFS($H$2:H7,$B$2:B7,B7,$A$2:A7,A7)</f>
        <v>5412.37113402062</v>
      </c>
      <c r="M7" s="15" t="s">
        <v>106</v>
      </c>
    </row>
    <row r="8" customFormat="false" ht="15" hidden="false" customHeight="false" outlineLevel="0" collapsed="false">
      <c r="A8" s="14" t="n">
        <v>46293</v>
      </c>
      <c r="B8" s="15" t="s">
        <v>61</v>
      </c>
      <c r="C8" s="15" t="s">
        <v>51</v>
      </c>
      <c r="D8" s="15" t="s">
        <v>62</v>
      </c>
      <c r="E8" s="16" t="n">
        <v>1038</v>
      </c>
      <c r="F8" s="16" t="n">
        <v>55</v>
      </c>
      <c r="G8" s="17" t="n">
        <f aca="false">INDEX(Plan!$B$19:$B$26,MATCH(C8,Plan!$A$19:$A$26,0))</f>
        <v>60</v>
      </c>
      <c r="H8" s="10" t="n">
        <f aca="false">G8/60*INDEX(Plan!$D$31:$D$33,MATCH(B8&amp;"|"&amp;D8,Plan!$E$31:$E$33,0))</f>
        <v>1030.92783505155</v>
      </c>
      <c r="I8" s="18" t="n">
        <f aca="false">E8-H8</f>
        <v>7.07216494845352</v>
      </c>
      <c r="J8" s="19" t="n">
        <f aca="false">IF(H8=0,"",E8/H8)</f>
        <v>1.00686</v>
      </c>
      <c r="K8" s="20" t="n">
        <f aca="false">SUMIFS($E$2:E8,$B$2:B8,B8,$A$2:A8,A8)</f>
        <v>5797</v>
      </c>
      <c r="L8" s="10" t="n">
        <f aca="false">SUMIFS($H$2:H8,$B$2:B8,B8,$A$2:A8,A8)</f>
        <v>6443.29896907217</v>
      </c>
      <c r="M8" s="15" t="s">
        <v>106</v>
      </c>
    </row>
    <row r="9" customFormat="false" ht="15" hidden="false" customHeight="false" outlineLevel="0" collapsed="false">
      <c r="A9" s="14" t="n">
        <v>46293</v>
      </c>
      <c r="B9" s="15" t="s">
        <v>61</v>
      </c>
      <c r="C9" s="15" t="s">
        <v>52</v>
      </c>
      <c r="D9" s="15" t="s">
        <v>62</v>
      </c>
      <c r="E9" s="16" t="n">
        <v>690</v>
      </c>
      <c r="F9" s="16" t="n">
        <v>36</v>
      </c>
      <c r="G9" s="17" t="n">
        <f aca="false">INDEX(Plan!$B$19:$B$26,MATCH(C9,Plan!$A$19:$A$26,0))</f>
        <v>40</v>
      </c>
      <c r="H9" s="10" t="n">
        <f aca="false">G9/60*INDEX(Plan!$D$31:$D$33,MATCH(B9&amp;"|"&amp;D9,Plan!$E$31:$E$33,0))</f>
        <v>687.285223367698</v>
      </c>
      <c r="I9" s="18" t="n">
        <f aca="false">E9-H9</f>
        <v>2.71477663230235</v>
      </c>
      <c r="J9" s="19" t="n">
        <f aca="false">IF(H9=0,"",E9/H9)</f>
        <v>1.00395</v>
      </c>
      <c r="K9" s="20" t="n">
        <f aca="false">SUMIFS($E$2:E9,$B$2:B9,B9,$A$2:A9,A9)</f>
        <v>6487</v>
      </c>
      <c r="L9" s="10" t="n">
        <f aca="false">SUMIFS($H$2:H9,$B$2:B9,B9,$A$2:A9,A9)</f>
        <v>7130.58419243986</v>
      </c>
      <c r="M9" s="15" t="s">
        <v>106</v>
      </c>
    </row>
    <row r="10" customFormat="false" ht="15" hidden="false" customHeight="false" outlineLevel="0" collapsed="false">
      <c r="A10" s="14" t="n">
        <v>46295</v>
      </c>
      <c r="B10" s="15" t="s">
        <v>64</v>
      </c>
      <c r="C10" s="15" t="s">
        <v>43</v>
      </c>
      <c r="D10" s="15" t="s">
        <v>62</v>
      </c>
      <c r="E10" s="16" t="n">
        <v>681</v>
      </c>
      <c r="F10" s="16" t="n">
        <v>3</v>
      </c>
      <c r="G10" s="17" t="n">
        <f aca="false">INDEX(Plan!$B$19:$B$26,MATCH(C10,Plan!$A$19:$A$26,0))</f>
        <v>45</v>
      </c>
      <c r="H10" s="10" t="n">
        <f aca="false">G10/60*INDEX(Plan!$D$31:$D$33,MATCH(B10&amp;"|"&amp;D10,Plan!$E$31:$E$33,0))</f>
        <v>750</v>
      </c>
      <c r="I10" s="18" t="n">
        <f aca="false">E10-H10</f>
        <v>-69</v>
      </c>
      <c r="J10" s="19" t="n">
        <f aca="false">IF(H10=0,"",E10/H10)</f>
        <v>0.908</v>
      </c>
      <c r="K10" s="20" t="n">
        <f aca="false">SUMIFS($E$2:E10,$B$2:B10,B10,$A$2:A10,A10)</f>
        <v>681</v>
      </c>
      <c r="L10" s="10" t="n">
        <f aca="false">SUMIFS($H$2:H10,$B$2:B10,B10,$A$2:A10,A10)</f>
        <v>750</v>
      </c>
      <c r="M10" s="15" t="s">
        <v>107</v>
      </c>
    </row>
    <row r="11" customFormat="false" ht="15" hidden="false" customHeight="false" outlineLevel="0" collapsed="false">
      <c r="A11" s="14" t="n">
        <v>46295</v>
      </c>
      <c r="B11" s="15" t="s">
        <v>64</v>
      </c>
      <c r="C11" s="15" t="s">
        <v>45</v>
      </c>
      <c r="D11" s="15" t="s">
        <v>62</v>
      </c>
      <c r="E11" s="16" t="n">
        <v>953</v>
      </c>
      <c r="F11" s="16" t="n">
        <v>4</v>
      </c>
      <c r="G11" s="17" t="n">
        <f aca="false">INDEX(Plan!$B$19:$B$26,MATCH(C11,Plan!$A$19:$A$26,0))</f>
        <v>60</v>
      </c>
      <c r="H11" s="10" t="n">
        <f aca="false">G11/60*INDEX(Plan!$D$31:$D$33,MATCH(B11&amp;"|"&amp;D11,Plan!$E$31:$E$33,0))</f>
        <v>1000</v>
      </c>
      <c r="I11" s="18" t="n">
        <f aca="false">E11-H11</f>
        <v>-47</v>
      </c>
      <c r="J11" s="19" t="n">
        <f aca="false">IF(H11=0,"",E11/H11)</f>
        <v>0.953</v>
      </c>
      <c r="K11" s="20" t="n">
        <f aca="false">SUMIFS($E$2:E11,$B$2:B11,B11,$A$2:A11,A11)</f>
        <v>1634</v>
      </c>
      <c r="L11" s="10" t="n">
        <f aca="false">SUMIFS($H$2:H11,$B$2:B11,B11,$A$2:A11,A11)</f>
        <v>1750</v>
      </c>
      <c r="M11" s="15" t="s">
        <v>107</v>
      </c>
    </row>
    <row r="12" customFormat="false" ht="15" hidden="false" customHeight="false" outlineLevel="0" collapsed="false">
      <c r="A12" s="14" t="n">
        <v>46295</v>
      </c>
      <c r="B12" s="15" t="s">
        <v>64</v>
      </c>
      <c r="C12" s="15" t="s">
        <v>46</v>
      </c>
      <c r="D12" s="15" t="s">
        <v>62</v>
      </c>
      <c r="E12" s="16" t="n">
        <v>983</v>
      </c>
      <c r="F12" s="16" t="n">
        <v>4</v>
      </c>
      <c r="G12" s="17" t="n">
        <f aca="false">INDEX(Plan!$B$19:$B$26,MATCH(C12,Plan!$A$19:$A$26,0))</f>
        <v>60</v>
      </c>
      <c r="H12" s="10" t="n">
        <f aca="false">G12/60*INDEX(Plan!$D$31:$D$33,MATCH(B12&amp;"|"&amp;D12,Plan!$E$31:$E$33,0))</f>
        <v>1000</v>
      </c>
      <c r="I12" s="18" t="n">
        <f aca="false">E12-H12</f>
        <v>-17</v>
      </c>
      <c r="J12" s="19" t="n">
        <f aca="false">IF(H12=0,"",E12/H12)</f>
        <v>0.983</v>
      </c>
      <c r="K12" s="20" t="n">
        <f aca="false">SUMIFS($E$2:E12,$B$2:B12,B12,$A$2:A12,A12)</f>
        <v>2617</v>
      </c>
      <c r="L12" s="10" t="n">
        <f aca="false">SUMIFS($H$2:H12,$B$2:B12,B12,$A$2:A12,A12)</f>
        <v>2750</v>
      </c>
      <c r="M12" s="15" t="s">
        <v>107</v>
      </c>
    </row>
    <row r="13" customFormat="false" ht="15" hidden="false" customHeight="false" outlineLevel="0" collapsed="false">
      <c r="A13" s="14" t="n">
        <v>46295</v>
      </c>
      <c r="B13" s="15" t="s">
        <v>64</v>
      </c>
      <c r="C13" s="15" t="s">
        <v>47</v>
      </c>
      <c r="D13" s="15" t="s">
        <v>62</v>
      </c>
      <c r="E13" s="16" t="n">
        <v>0</v>
      </c>
      <c r="F13" s="16" t="n">
        <v>1020</v>
      </c>
      <c r="G13" s="17" t="n">
        <f aca="false">INDEX(Plan!$B$19:$B$26,MATCH(C13,Plan!$A$19:$A$26,0))</f>
        <v>60</v>
      </c>
      <c r="H13" s="10" t="n">
        <f aca="false">G13/60*INDEX(Plan!$D$31:$D$33,MATCH(B13&amp;"|"&amp;D13,Plan!$E$31:$E$33,0))</f>
        <v>1000</v>
      </c>
      <c r="I13" s="18" t="n">
        <f aca="false">E13-H13</f>
        <v>-1000</v>
      </c>
      <c r="J13" s="19" t="n">
        <f aca="false">IF(H13=0,"",E13/H13)</f>
        <v>0</v>
      </c>
      <c r="K13" s="20" t="n">
        <f aca="false">SUMIFS($E$2:E13,$B$2:B13,B13,$A$2:A13,A13)</f>
        <v>2617</v>
      </c>
      <c r="L13" s="10" t="n">
        <f aca="false">SUMIFS($H$2:H13,$B$2:B13,B13,$A$2:A13,A13)</f>
        <v>3750</v>
      </c>
      <c r="M13" s="15" t="s">
        <v>107</v>
      </c>
    </row>
    <row r="14" customFormat="false" ht="15" hidden="false" customHeight="false" outlineLevel="0" collapsed="false">
      <c r="A14" s="14" t="n">
        <v>46295</v>
      </c>
      <c r="B14" s="15" t="s">
        <v>64</v>
      </c>
      <c r="C14" s="15" t="s">
        <v>48</v>
      </c>
      <c r="D14" s="15" t="s">
        <v>62</v>
      </c>
      <c r="E14" s="16" t="n">
        <v>431</v>
      </c>
      <c r="F14" s="16" t="n">
        <v>2</v>
      </c>
      <c r="G14" s="17" t="n">
        <f aca="false">INDEX(Plan!$B$19:$B$26,MATCH(C14,Plan!$A$19:$A$26,0))</f>
        <v>30</v>
      </c>
      <c r="H14" s="10" t="n">
        <f aca="false">G14/60*INDEX(Plan!$D$31:$D$33,MATCH(B14&amp;"|"&amp;D14,Plan!$E$31:$E$33,0))</f>
        <v>500</v>
      </c>
      <c r="I14" s="18" t="n">
        <f aca="false">E14-H14</f>
        <v>-69</v>
      </c>
      <c r="J14" s="19" t="n">
        <f aca="false">IF(H14=0,"",E14/H14)</f>
        <v>0.862</v>
      </c>
      <c r="K14" s="20" t="n">
        <f aca="false">SUMIFS($E$2:E14,$B$2:B14,B14,$A$2:A14,A14)</f>
        <v>3048</v>
      </c>
      <c r="L14" s="10" t="n">
        <f aca="false">SUMIFS($H$2:H14,$B$2:B14,B14,$A$2:A14,A14)</f>
        <v>4250</v>
      </c>
      <c r="M14" s="15" t="s">
        <v>107</v>
      </c>
    </row>
    <row r="15" customFormat="false" ht="15" hidden="false" customHeight="false" outlineLevel="0" collapsed="false">
      <c r="A15" s="14" t="n">
        <v>46295</v>
      </c>
      <c r="B15" s="15" t="s">
        <v>64</v>
      </c>
      <c r="C15" s="15" t="s">
        <v>50</v>
      </c>
      <c r="D15" s="15" t="s">
        <v>62</v>
      </c>
      <c r="E15" s="16" t="n">
        <v>247</v>
      </c>
      <c r="F15" s="16" t="n">
        <v>1</v>
      </c>
      <c r="G15" s="17" t="n">
        <f aca="false">INDEX(Plan!$B$19:$B$26,MATCH(C15,Plan!$A$19:$A$26,0))</f>
        <v>60</v>
      </c>
      <c r="H15" s="10" t="n">
        <f aca="false">G15/60*INDEX(Plan!$D$31:$D$33,MATCH(B15&amp;"|"&amp;D15,Plan!$E$31:$E$33,0))</f>
        <v>1000</v>
      </c>
      <c r="I15" s="18" t="n">
        <f aca="false">E15-H15</f>
        <v>-753</v>
      </c>
      <c r="J15" s="19" t="n">
        <f aca="false">IF(H15=0,"",E15/H15)</f>
        <v>0.247</v>
      </c>
      <c r="K15" s="20" t="n">
        <f aca="false">SUMIFS($E$2:E15,$B$2:B15,B15,$A$2:A15,A15)</f>
        <v>3295</v>
      </c>
      <c r="L15" s="10" t="n">
        <f aca="false">SUMIFS($H$2:H15,$B$2:B15,B15,$A$2:A15,A15)</f>
        <v>5250</v>
      </c>
      <c r="M15" s="15" t="s">
        <v>107</v>
      </c>
    </row>
    <row r="16" customFormat="false" ht="15" hidden="false" customHeight="false" outlineLevel="0" collapsed="false">
      <c r="A16" s="14" t="n">
        <v>46295</v>
      </c>
      <c r="B16" s="15" t="s">
        <v>64</v>
      </c>
      <c r="C16" s="15" t="s">
        <v>51</v>
      </c>
      <c r="D16" s="15" t="s">
        <v>62</v>
      </c>
      <c r="E16" s="16" t="n">
        <v>1000</v>
      </c>
      <c r="F16" s="16" t="n">
        <v>4</v>
      </c>
      <c r="G16" s="17" t="n">
        <f aca="false">INDEX(Plan!$B$19:$B$26,MATCH(C16,Plan!$A$19:$A$26,0))</f>
        <v>60</v>
      </c>
      <c r="H16" s="10" t="n">
        <f aca="false">G16/60*INDEX(Plan!$D$31:$D$33,MATCH(B16&amp;"|"&amp;D16,Plan!$E$31:$E$33,0))</f>
        <v>1000</v>
      </c>
      <c r="I16" s="18" t="n">
        <f aca="false">E16-H16</f>
        <v>0</v>
      </c>
      <c r="J16" s="19" t="n">
        <f aca="false">IF(H16=0,"",E16/H16)</f>
        <v>1</v>
      </c>
      <c r="K16" s="20" t="n">
        <f aca="false">SUMIFS($E$2:E16,$B$2:B16,B16,$A$2:A16,A16)</f>
        <v>4295</v>
      </c>
      <c r="L16" s="10" t="n">
        <f aca="false">SUMIFS($H$2:H16,$B$2:B16,B16,$A$2:A16,A16)</f>
        <v>6250</v>
      </c>
      <c r="M16" s="15" t="s">
        <v>107</v>
      </c>
    </row>
    <row r="17" customFormat="false" ht="15" hidden="false" customHeight="false" outlineLevel="0" collapsed="false">
      <c r="A17" s="14" t="n">
        <v>46295</v>
      </c>
      <c r="B17" s="15" t="s">
        <v>64</v>
      </c>
      <c r="C17" s="15" t="s">
        <v>52</v>
      </c>
      <c r="D17" s="15" t="s">
        <v>62</v>
      </c>
      <c r="E17" s="16" t="n">
        <v>668</v>
      </c>
      <c r="F17" s="16" t="n">
        <v>3</v>
      </c>
      <c r="G17" s="17" t="n">
        <f aca="false">INDEX(Plan!$B$19:$B$26,MATCH(C17,Plan!$A$19:$A$26,0))</f>
        <v>40</v>
      </c>
      <c r="H17" s="10" t="n">
        <f aca="false">G17/60*INDEX(Plan!$D$31:$D$33,MATCH(B17&amp;"|"&amp;D17,Plan!$E$31:$E$33,0))</f>
        <v>666.666666666667</v>
      </c>
      <c r="I17" s="18" t="n">
        <f aca="false">E17-H17</f>
        <v>1.33333333333337</v>
      </c>
      <c r="J17" s="19" t="n">
        <f aca="false">IF(H17=0,"",E17/H17)</f>
        <v>1.002</v>
      </c>
      <c r="K17" s="20" t="n">
        <f aca="false">SUMIFS($E$2:E17,$B$2:B17,B17,$A$2:A17,A17)</f>
        <v>4963</v>
      </c>
      <c r="L17" s="10" t="n">
        <f aca="false">SUMIFS($H$2:H17,$B$2:B17,B17,$A$2:A17,A17)</f>
        <v>6916.66666666667</v>
      </c>
      <c r="M17" s="15" t="s">
        <v>107</v>
      </c>
    </row>
    <row r="18" customFormat="false" ht="15" hidden="false" customHeight="false" outlineLevel="0" collapsed="false">
      <c r="A18" s="14" t="n">
        <v>46297</v>
      </c>
      <c r="B18" s="15" t="s">
        <v>66</v>
      </c>
      <c r="C18" s="15" t="s">
        <v>43</v>
      </c>
      <c r="D18" s="15" t="s">
        <v>62</v>
      </c>
      <c r="E18" s="16" t="n">
        <v>3527</v>
      </c>
      <c r="F18" s="16" t="n">
        <v>34</v>
      </c>
      <c r="G18" s="17" t="n">
        <f aca="false">INDEX(Plan!$B$19:$B$26,MATCH(C18,Plan!$A$19:$A$26,0))</f>
        <v>45</v>
      </c>
      <c r="H18" s="10" t="n">
        <f aca="false">G18/60*INDEX(Plan!$D$31:$D$33,MATCH(B18&amp;"|"&amp;D18,Plan!$E$31:$E$33,0))</f>
        <v>3528</v>
      </c>
      <c r="I18" s="18" t="n">
        <f aca="false">E18-H18</f>
        <v>-1</v>
      </c>
      <c r="J18" s="19" t="n">
        <f aca="false">IF(H18=0,"",E18/H18)</f>
        <v>0.999716553287982</v>
      </c>
      <c r="K18" s="20" t="n">
        <f aca="false">SUMIFS($E$2:E18,$B$2:B18,B18,$A$2:A18,A18)</f>
        <v>3527</v>
      </c>
      <c r="L18" s="10" t="n">
        <f aca="false">SUMIFS($H$2:H18,$B$2:B18,B18,$A$2:A18,A18)</f>
        <v>3528</v>
      </c>
      <c r="M18" s="15" t="s">
        <v>108</v>
      </c>
    </row>
    <row r="19" customFormat="false" ht="15" hidden="false" customHeight="false" outlineLevel="0" collapsed="false">
      <c r="A19" s="14" t="n">
        <v>46297</v>
      </c>
      <c r="B19" s="15" t="s">
        <v>66</v>
      </c>
      <c r="C19" s="15" t="s">
        <v>45</v>
      </c>
      <c r="D19" s="15" t="s">
        <v>62</v>
      </c>
      <c r="E19" s="16" t="n">
        <v>4701</v>
      </c>
      <c r="F19" s="16" t="n">
        <v>41</v>
      </c>
      <c r="G19" s="17" t="n">
        <f aca="false">INDEX(Plan!$B$19:$B$26,MATCH(C19,Plan!$A$19:$A$26,0))</f>
        <v>60</v>
      </c>
      <c r="H19" s="10" t="n">
        <f aca="false">G19/60*INDEX(Plan!$D$31:$D$33,MATCH(B19&amp;"|"&amp;D19,Plan!$E$31:$E$33,0))</f>
        <v>4704</v>
      </c>
      <c r="I19" s="18" t="n">
        <f aca="false">E19-H19</f>
        <v>-3</v>
      </c>
      <c r="J19" s="19" t="n">
        <f aca="false">IF(H19=0,"",E19/H19)</f>
        <v>0.999362244897959</v>
      </c>
      <c r="K19" s="20" t="n">
        <f aca="false">SUMIFS($E$2:E19,$B$2:B19,B19,$A$2:A19,A19)</f>
        <v>8228</v>
      </c>
      <c r="L19" s="10" t="n">
        <f aca="false">SUMIFS($H$2:H19,$B$2:B19,B19,$A$2:A19,A19)</f>
        <v>8232</v>
      </c>
      <c r="M19" s="15" t="s">
        <v>108</v>
      </c>
    </row>
    <row r="20" customFormat="false" ht="15" hidden="false" customHeight="false" outlineLevel="0" collapsed="false">
      <c r="A20" s="14" t="n">
        <v>46297</v>
      </c>
      <c r="B20" s="15" t="s">
        <v>66</v>
      </c>
      <c r="C20" s="15" t="s">
        <v>46</v>
      </c>
      <c r="D20" s="15" t="s">
        <v>62</v>
      </c>
      <c r="E20" s="16" t="n">
        <v>4367</v>
      </c>
      <c r="F20" s="16" t="n">
        <v>149</v>
      </c>
      <c r="G20" s="17" t="n">
        <f aca="false">INDEX(Plan!$B$19:$B$26,MATCH(C20,Plan!$A$19:$A$26,0))</f>
        <v>60</v>
      </c>
      <c r="H20" s="10" t="n">
        <f aca="false">G20/60*INDEX(Plan!$D$31:$D$33,MATCH(B20&amp;"|"&amp;D20,Plan!$E$31:$E$33,0))</f>
        <v>4704</v>
      </c>
      <c r="I20" s="18" t="n">
        <f aca="false">E20-H20</f>
        <v>-337</v>
      </c>
      <c r="J20" s="19" t="n">
        <f aca="false">IF(H20=0,"",E20/H20)</f>
        <v>0.928358843537415</v>
      </c>
      <c r="K20" s="20" t="n">
        <f aca="false">SUMIFS($E$2:E20,$B$2:B20,B20,$A$2:A20,A20)</f>
        <v>12595</v>
      </c>
      <c r="L20" s="10" t="n">
        <f aca="false">SUMIFS($H$2:H20,$B$2:B20,B20,$A$2:A20,A20)</f>
        <v>12936</v>
      </c>
      <c r="M20" s="15" t="s">
        <v>108</v>
      </c>
    </row>
    <row r="21" customFormat="false" ht="15" hidden="false" customHeight="false" outlineLevel="0" collapsed="false">
      <c r="A21" s="14" t="n">
        <v>46297</v>
      </c>
      <c r="B21" s="15" t="s">
        <v>66</v>
      </c>
      <c r="C21" s="15" t="s">
        <v>47</v>
      </c>
      <c r="D21" s="15" t="s">
        <v>62</v>
      </c>
      <c r="E21" s="16" t="n">
        <v>3236</v>
      </c>
      <c r="F21" s="16" t="n">
        <v>296</v>
      </c>
      <c r="G21" s="17" t="n">
        <f aca="false">INDEX(Plan!$B$19:$B$26,MATCH(C21,Plan!$A$19:$A$26,0))</f>
        <v>60</v>
      </c>
      <c r="H21" s="10" t="n">
        <f aca="false">G21/60*INDEX(Plan!$D$31:$D$33,MATCH(B21&amp;"|"&amp;D21,Plan!$E$31:$E$33,0))</f>
        <v>4704</v>
      </c>
      <c r="I21" s="18" t="n">
        <f aca="false">E21-H21</f>
        <v>-1468</v>
      </c>
      <c r="J21" s="19" t="n">
        <f aca="false">IF(H21=0,"",E21/H21)</f>
        <v>0.687925170068027</v>
      </c>
      <c r="K21" s="20" t="n">
        <f aca="false">SUMIFS($E$2:E21,$B$2:B21,B21,$A$2:A21,A21)</f>
        <v>15831</v>
      </c>
      <c r="L21" s="10" t="n">
        <f aca="false">SUMIFS($H$2:H21,$B$2:B21,B21,$A$2:A21,A21)</f>
        <v>17640</v>
      </c>
      <c r="M21" s="15" t="s">
        <v>108</v>
      </c>
    </row>
    <row r="22" customFormat="false" ht="15" hidden="false" customHeight="false" outlineLevel="0" collapsed="false">
      <c r="A22" s="14" t="n">
        <v>46297</v>
      </c>
      <c r="B22" s="15" t="s">
        <v>66</v>
      </c>
      <c r="C22" s="15" t="s">
        <v>48</v>
      </c>
      <c r="D22" s="15" t="s">
        <v>62</v>
      </c>
      <c r="E22" s="16" t="n">
        <v>1662</v>
      </c>
      <c r="F22" s="16" t="n">
        <v>157</v>
      </c>
      <c r="G22" s="17" t="n">
        <f aca="false">INDEX(Plan!$B$19:$B$26,MATCH(C22,Plan!$A$19:$A$26,0))</f>
        <v>30</v>
      </c>
      <c r="H22" s="10" t="n">
        <f aca="false">G22/60*INDEX(Plan!$D$31:$D$33,MATCH(B22&amp;"|"&amp;D22,Plan!$E$31:$E$33,0))</f>
        <v>2352</v>
      </c>
      <c r="I22" s="18" t="n">
        <f aca="false">E22-H22</f>
        <v>-690</v>
      </c>
      <c r="J22" s="19" t="n">
        <f aca="false">IF(H22=0,"",E22/H22)</f>
        <v>0.706632653061225</v>
      </c>
      <c r="K22" s="20" t="n">
        <f aca="false">SUMIFS($E$2:E22,$B$2:B22,B22,$A$2:A22,A22)</f>
        <v>17493</v>
      </c>
      <c r="L22" s="10" t="n">
        <f aca="false">SUMIFS($H$2:H22,$B$2:B22,B22,$A$2:A22,A22)</f>
        <v>19992</v>
      </c>
      <c r="M22" s="15" t="s">
        <v>108</v>
      </c>
    </row>
    <row r="23" customFormat="false" ht="15" hidden="false" customHeight="false" outlineLevel="0" collapsed="false">
      <c r="A23" s="14" t="n">
        <v>46297</v>
      </c>
      <c r="B23" s="15" t="s">
        <v>66</v>
      </c>
      <c r="C23" s="15" t="s">
        <v>50</v>
      </c>
      <c r="D23" s="15" t="s">
        <v>62</v>
      </c>
      <c r="E23" s="16" t="n">
        <v>2332</v>
      </c>
      <c r="F23" s="16" t="n">
        <v>164</v>
      </c>
      <c r="G23" s="17" t="n">
        <f aca="false">INDEX(Plan!$B$19:$B$26,MATCH(C23,Plan!$A$19:$A$26,0))</f>
        <v>60</v>
      </c>
      <c r="H23" s="10" t="n">
        <f aca="false">G23/60*INDEX(Plan!$D$31:$D$33,MATCH(B23&amp;"|"&amp;D23,Plan!$E$31:$E$33,0))</f>
        <v>4704</v>
      </c>
      <c r="I23" s="18" t="n">
        <f aca="false">E23-H23</f>
        <v>-2372</v>
      </c>
      <c r="J23" s="19" t="n">
        <f aca="false">IF(H23=0,"",E23/H23)</f>
        <v>0.495748299319728</v>
      </c>
      <c r="K23" s="20" t="n">
        <f aca="false">SUMIFS($E$2:E23,$B$2:B23,B23,$A$2:A23,A23)</f>
        <v>19825</v>
      </c>
      <c r="L23" s="10" t="n">
        <f aca="false">SUMIFS($H$2:H23,$B$2:B23,B23,$A$2:A23,A23)</f>
        <v>24696</v>
      </c>
      <c r="M23" s="15" t="s">
        <v>108</v>
      </c>
    </row>
    <row r="24" customFormat="false" ht="15" hidden="false" customHeight="false" outlineLevel="0" collapsed="false">
      <c r="A24" s="14" t="n">
        <v>46297</v>
      </c>
      <c r="B24" s="15" t="s">
        <v>66</v>
      </c>
      <c r="C24" s="15" t="s">
        <v>51</v>
      </c>
      <c r="D24" s="15" t="s">
        <v>62</v>
      </c>
      <c r="E24" s="16" t="n">
        <v>4687</v>
      </c>
      <c r="F24" s="16" t="n">
        <v>43</v>
      </c>
      <c r="G24" s="17" t="n">
        <f aca="false">INDEX(Plan!$B$19:$B$26,MATCH(C24,Plan!$A$19:$A$26,0))</f>
        <v>60</v>
      </c>
      <c r="H24" s="10" t="n">
        <f aca="false">G24/60*INDEX(Plan!$D$31:$D$33,MATCH(B24&amp;"|"&amp;D24,Plan!$E$31:$E$33,0))</f>
        <v>4704</v>
      </c>
      <c r="I24" s="18" t="n">
        <f aca="false">E24-H24</f>
        <v>-17</v>
      </c>
      <c r="J24" s="19" t="n">
        <f aca="false">IF(H24=0,"",E24/H24)</f>
        <v>0.996386054421769</v>
      </c>
      <c r="K24" s="20" t="n">
        <f aca="false">SUMIFS($E$2:E24,$B$2:B24,B24,$A$2:A24,A24)</f>
        <v>24512</v>
      </c>
      <c r="L24" s="10" t="n">
        <f aca="false">SUMIFS($H$2:H24,$B$2:B24,B24,$A$2:A24,A24)</f>
        <v>29400</v>
      </c>
      <c r="M24" s="15" t="s">
        <v>108</v>
      </c>
    </row>
    <row r="25" customFormat="false" ht="15" hidden="false" customHeight="false" outlineLevel="0" collapsed="false">
      <c r="A25" s="14" t="n">
        <v>46297</v>
      </c>
      <c r="B25" s="15" t="s">
        <v>66</v>
      </c>
      <c r="C25" s="15" t="s">
        <v>52</v>
      </c>
      <c r="D25" s="15" t="s">
        <v>62</v>
      </c>
      <c r="E25" s="16" t="n">
        <v>3152</v>
      </c>
      <c r="F25" s="16" t="n">
        <v>28</v>
      </c>
      <c r="G25" s="17" t="n">
        <f aca="false">INDEX(Plan!$B$19:$B$26,MATCH(C25,Plan!$A$19:$A$26,0))</f>
        <v>40</v>
      </c>
      <c r="H25" s="10" t="n">
        <f aca="false">G25/60*INDEX(Plan!$D$31:$D$33,MATCH(B25&amp;"|"&amp;D25,Plan!$E$31:$E$33,0))</f>
        <v>3136</v>
      </c>
      <c r="I25" s="18" t="n">
        <f aca="false">E25-H25</f>
        <v>16</v>
      </c>
      <c r="J25" s="19" t="n">
        <f aca="false">IF(H25=0,"",E25/H25)</f>
        <v>1.00510204081633</v>
      </c>
      <c r="K25" s="20" t="n">
        <f aca="false">SUMIFS($E$2:E25,$B$2:B25,B25,$A$2:A25,A25)</f>
        <v>27664</v>
      </c>
      <c r="L25" s="10" t="n">
        <f aca="false">SUMIFS($H$2:H25,$B$2:B25,B25,$A$2:A25,A25)</f>
        <v>32536</v>
      </c>
      <c r="M25" s="15" t="s">
        <v>108</v>
      </c>
    </row>
    <row r="27" customFormat="false" ht="15" hidden="false" customHeight="false" outlineLevel="0" collapsed="false">
      <c r="A27" s="13" t="s">
        <v>109</v>
      </c>
    </row>
  </sheetData>
  <dataValidations count="1">
    <dataValidation allowBlank="true" errorStyle="stop" operator="between" showDropDown="false" showErrorMessage="false" showInputMessage="false" sqref="B2:B400" type="list">
      <formula1>Lists!$A$2:$A$4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4" min="3" style="0" width="10"/>
    <col collapsed="false" customWidth="true" hidden="false" outlineLevel="0" max="5" min="5" style="0" width="9"/>
    <col collapsed="false" customWidth="true" hidden="false" outlineLevel="0" max="6" min="6" style="0" width="22"/>
    <col collapsed="false" customWidth="true" hidden="false" outlineLevel="0" max="7" min="7" style="0" width="10"/>
    <col collapsed="false" customWidth="true" hidden="false" outlineLevel="0" max="8" min="8" style="0" width="58"/>
    <col collapsed="false" customWidth="true" hidden="false" outlineLevel="0" max="9" min="9" style="0" width="10"/>
  </cols>
  <sheetData>
    <row r="1" customFormat="false" ht="33.75" hidden="false" customHeight="true" outlineLevel="0" collapsed="false">
      <c r="A1" s="5" t="s">
        <v>96</v>
      </c>
      <c r="B1" s="5" t="s">
        <v>56</v>
      </c>
      <c r="C1" s="5" t="s">
        <v>110</v>
      </c>
      <c r="D1" s="5" t="s">
        <v>111</v>
      </c>
      <c r="E1" s="5" t="s">
        <v>112</v>
      </c>
      <c r="F1" s="5" t="s">
        <v>113</v>
      </c>
      <c r="G1" s="5" t="s">
        <v>114</v>
      </c>
      <c r="H1" s="5" t="s">
        <v>115</v>
      </c>
      <c r="I1" s="5" t="s">
        <v>105</v>
      </c>
    </row>
    <row r="2" customFormat="false" ht="15" hidden="false" customHeight="false" outlineLevel="0" collapsed="false">
      <c r="A2" s="14" t="n">
        <v>46293</v>
      </c>
      <c r="B2" s="15" t="s">
        <v>61</v>
      </c>
      <c r="C2" s="21" t="n">
        <v>0.420138888888889</v>
      </c>
      <c r="D2" s="21" t="n">
        <v>0.422222222222222</v>
      </c>
      <c r="E2" s="8" t="n">
        <f aca="false">IF(OR(C2="",D2=""),"",ROUND((D2-C2)*1440,0))</f>
        <v>3</v>
      </c>
      <c r="F2" s="15" t="s">
        <v>116</v>
      </c>
      <c r="G2" s="15" t="s">
        <v>117</v>
      </c>
      <c r="H2" s="22" t="s">
        <v>118</v>
      </c>
      <c r="I2" s="15" t="s">
        <v>106</v>
      </c>
    </row>
    <row r="3" customFormat="false" ht="15" hidden="false" customHeight="false" outlineLevel="0" collapsed="false">
      <c r="A3" s="14" t="n">
        <v>46293</v>
      </c>
      <c r="B3" s="15" t="s">
        <v>61</v>
      </c>
      <c r="C3" s="21" t="n">
        <v>0.465277777777778</v>
      </c>
      <c r="D3" s="21" t="n">
        <v>0.472222222222222</v>
      </c>
      <c r="E3" s="8" t="n">
        <f aca="false">IF(OR(C3="",D3=""),"",ROUND((D3-C3)*1440,0))</f>
        <v>10</v>
      </c>
      <c r="F3" s="22" t="s">
        <v>119</v>
      </c>
      <c r="G3" s="15" t="s">
        <v>120</v>
      </c>
      <c r="H3" s="22" t="s">
        <v>121</v>
      </c>
      <c r="I3" s="15" t="s">
        <v>106</v>
      </c>
    </row>
    <row r="4" customFormat="false" ht="15" hidden="false" customHeight="false" outlineLevel="0" collapsed="false">
      <c r="A4" s="14" t="n">
        <v>46293</v>
      </c>
      <c r="B4" s="15" t="s">
        <v>61</v>
      </c>
      <c r="C4" s="21" t="n">
        <v>0.510416666666667</v>
      </c>
      <c r="D4" s="21" t="n">
        <v>0.517361111111111</v>
      </c>
      <c r="E4" s="8" t="n">
        <f aca="false">IF(OR(C4="",D4=""),"",ROUND((D4-C4)*1440,0))</f>
        <v>10</v>
      </c>
      <c r="F4" s="22" t="s">
        <v>119</v>
      </c>
      <c r="G4" s="15" t="s">
        <v>120</v>
      </c>
      <c r="H4" s="22" t="s">
        <v>122</v>
      </c>
      <c r="I4" s="15" t="s">
        <v>106</v>
      </c>
    </row>
    <row r="5" customFormat="false" ht="15" hidden="false" customHeight="false" outlineLevel="0" collapsed="false">
      <c r="A5" s="14" t="n">
        <v>46293</v>
      </c>
      <c r="B5" s="15" t="s">
        <v>61</v>
      </c>
      <c r="C5" s="21" t="n">
        <v>0.628472222222222</v>
      </c>
      <c r="D5" s="21" t="n">
        <v>0.630555555555556</v>
      </c>
      <c r="E5" s="8" t="n">
        <f aca="false">IF(OR(C5="",D5=""),"",ROUND((D5-C5)*1440,0))</f>
        <v>3</v>
      </c>
      <c r="F5" s="15" t="s">
        <v>116</v>
      </c>
      <c r="G5" s="15" t="s">
        <v>117</v>
      </c>
      <c r="H5" s="22" t="s">
        <v>123</v>
      </c>
      <c r="I5" s="15" t="s">
        <v>106</v>
      </c>
    </row>
    <row r="6" customFormat="false" ht="15" hidden="false" customHeight="false" outlineLevel="0" collapsed="false">
      <c r="A6" s="14" t="n">
        <v>46295</v>
      </c>
      <c r="B6" s="15" t="s">
        <v>64</v>
      </c>
      <c r="C6" s="21" t="n">
        <v>0.408333333333333</v>
      </c>
      <c r="D6" s="21" t="n">
        <v>0.410416666666667</v>
      </c>
      <c r="E6" s="8" t="n">
        <f aca="false">IF(OR(C6="",D6=""),"",ROUND((D6-C6)*1440,0))</f>
        <v>3</v>
      </c>
      <c r="F6" s="15" t="s">
        <v>116</v>
      </c>
      <c r="G6" s="15" t="s">
        <v>117</v>
      </c>
      <c r="H6" s="22" t="s">
        <v>124</v>
      </c>
      <c r="I6" s="15" t="s">
        <v>107</v>
      </c>
    </row>
    <row r="7" customFormat="false" ht="15" hidden="false" customHeight="false" outlineLevel="0" collapsed="false">
      <c r="A7" s="14" t="n">
        <v>46295</v>
      </c>
      <c r="B7" s="15" t="s">
        <v>64</v>
      </c>
      <c r="C7" s="21" t="n">
        <v>0.488194444444444</v>
      </c>
      <c r="D7" s="21" t="n">
        <v>0.490972222222222</v>
      </c>
      <c r="E7" s="8" t="n">
        <f aca="false">IF(OR(C7="",D7=""),"",ROUND((D7-C7)*1440,0))</f>
        <v>4</v>
      </c>
      <c r="F7" s="15" t="s">
        <v>116</v>
      </c>
      <c r="G7" s="15" t="s">
        <v>117</v>
      </c>
      <c r="H7" s="22" t="s">
        <v>125</v>
      </c>
      <c r="I7" s="15" t="s">
        <v>107</v>
      </c>
    </row>
    <row r="8" customFormat="false" ht="15" hidden="false" customHeight="false" outlineLevel="0" collapsed="false">
      <c r="A8" s="14" t="n">
        <v>46295</v>
      </c>
      <c r="B8" s="15" t="s">
        <v>64</v>
      </c>
      <c r="C8" s="21" t="n">
        <v>0.59375</v>
      </c>
      <c r="D8" s="21" t="n">
        <v>0.625</v>
      </c>
      <c r="E8" s="8" t="n">
        <f aca="false">IF(OR(C8="",D8=""),"",ROUND((D8-C8)*1440,0))</f>
        <v>45</v>
      </c>
      <c r="F8" s="15" t="s">
        <v>126</v>
      </c>
      <c r="G8" s="15" t="s">
        <v>117</v>
      </c>
      <c r="H8" s="22" t="s">
        <v>127</v>
      </c>
      <c r="I8" s="15" t="s">
        <v>107</v>
      </c>
    </row>
    <row r="9" customFormat="false" ht="15" hidden="false" customHeight="false" outlineLevel="0" collapsed="false">
      <c r="A9" s="14" t="n">
        <v>46297</v>
      </c>
      <c r="B9" s="15" t="s">
        <v>66</v>
      </c>
      <c r="C9" s="21" t="n">
        <v>0.483333333333333</v>
      </c>
      <c r="D9" s="21" t="n">
        <v>0.485416666666667</v>
      </c>
      <c r="E9" s="8" t="n">
        <f aca="false">IF(OR(C9="",D9=""),"",ROUND((D9-C9)*1440,0))</f>
        <v>3</v>
      </c>
      <c r="F9" s="15" t="s">
        <v>116</v>
      </c>
      <c r="G9" s="15" t="s">
        <v>117</v>
      </c>
      <c r="H9" s="22" t="s">
        <v>128</v>
      </c>
      <c r="I9" s="15" t="s">
        <v>108</v>
      </c>
    </row>
    <row r="10" customFormat="false" ht="15" hidden="false" customHeight="false" outlineLevel="0" collapsed="false">
      <c r="A10" s="14" t="n">
        <v>46297</v>
      </c>
      <c r="B10" s="15" t="s">
        <v>66</v>
      </c>
      <c r="C10" s="21" t="n">
        <v>0.49375</v>
      </c>
      <c r="D10" s="21" t="n">
        <v>0.495833333333333</v>
      </c>
      <c r="E10" s="8" t="n">
        <f aca="false">IF(OR(C10="",D10=""),"",ROUND((D10-C10)*1440,0))</f>
        <v>3</v>
      </c>
      <c r="F10" s="15" t="s">
        <v>116</v>
      </c>
      <c r="G10" s="15" t="s">
        <v>117</v>
      </c>
      <c r="H10" s="22" t="s">
        <v>129</v>
      </c>
      <c r="I10" s="15" t="s">
        <v>108</v>
      </c>
    </row>
    <row r="11" customFormat="false" ht="15" hidden="false" customHeight="false" outlineLevel="0" collapsed="false">
      <c r="A11" s="14" t="n">
        <v>46297</v>
      </c>
      <c r="B11" s="15" t="s">
        <v>66</v>
      </c>
      <c r="C11" s="21" t="n">
        <v>0.504166666666667</v>
      </c>
      <c r="D11" s="21" t="n">
        <v>0.50625</v>
      </c>
      <c r="E11" s="8" t="n">
        <f aca="false">IF(OR(C11="",D11=""),"",ROUND((D11-C11)*1440,0))</f>
        <v>3</v>
      </c>
      <c r="F11" s="15" t="s">
        <v>116</v>
      </c>
      <c r="G11" s="15" t="s">
        <v>117</v>
      </c>
      <c r="H11" s="22" t="s">
        <v>128</v>
      </c>
      <c r="I11" s="15" t="s">
        <v>108</v>
      </c>
    </row>
    <row r="12" customFormat="false" ht="15" hidden="false" customHeight="false" outlineLevel="0" collapsed="false">
      <c r="A12" s="14" t="n">
        <v>46297</v>
      </c>
      <c r="B12" s="15" t="s">
        <v>66</v>
      </c>
      <c r="C12" s="21" t="n">
        <v>0.514583333333333</v>
      </c>
      <c r="D12" s="21" t="n">
        <v>0.516666666666667</v>
      </c>
      <c r="E12" s="8" t="n">
        <f aca="false">IF(OR(C12="",D12=""),"",ROUND((D12-C12)*1440,0))</f>
        <v>3</v>
      </c>
      <c r="F12" s="15" t="s">
        <v>116</v>
      </c>
      <c r="G12" s="15" t="s">
        <v>117</v>
      </c>
      <c r="H12" s="22" t="s">
        <v>129</v>
      </c>
      <c r="I12" s="15" t="s">
        <v>108</v>
      </c>
    </row>
    <row r="13" customFormat="false" ht="15" hidden="false" customHeight="false" outlineLevel="0" collapsed="false">
      <c r="A13" s="14" t="n">
        <v>46297</v>
      </c>
      <c r="B13" s="15" t="s">
        <v>66</v>
      </c>
      <c r="C13" s="21" t="n">
        <v>0.523611111111111</v>
      </c>
      <c r="D13" s="21" t="n">
        <v>0.525694444444445</v>
      </c>
      <c r="E13" s="8" t="n">
        <f aca="false">IF(OR(C13="",D13=""),"",ROUND((D13-C13)*1440,0))</f>
        <v>3</v>
      </c>
      <c r="F13" s="15" t="s">
        <v>116</v>
      </c>
      <c r="G13" s="15" t="s">
        <v>117</v>
      </c>
      <c r="H13" s="22" t="s">
        <v>128</v>
      </c>
      <c r="I13" s="15" t="s">
        <v>108</v>
      </c>
    </row>
    <row r="14" customFormat="false" ht="15" hidden="false" customHeight="false" outlineLevel="0" collapsed="false">
      <c r="A14" s="14" t="n">
        <v>46297</v>
      </c>
      <c r="B14" s="15" t="s">
        <v>66</v>
      </c>
      <c r="C14" s="21" t="n">
        <v>0.530555555555556</v>
      </c>
      <c r="D14" s="21" t="n">
        <v>0.532638888888889</v>
      </c>
      <c r="E14" s="8" t="n">
        <f aca="false">IF(OR(C14="",D14=""),"",ROUND((D14-C14)*1440,0))</f>
        <v>3</v>
      </c>
      <c r="F14" s="15" t="s">
        <v>116</v>
      </c>
      <c r="G14" s="15" t="s">
        <v>117</v>
      </c>
      <c r="H14" s="22" t="s">
        <v>129</v>
      </c>
      <c r="I14" s="15" t="s">
        <v>108</v>
      </c>
    </row>
    <row r="15" customFormat="false" ht="15" hidden="false" customHeight="false" outlineLevel="0" collapsed="false">
      <c r="A15" s="14" t="n">
        <v>46297</v>
      </c>
      <c r="B15" s="15" t="s">
        <v>66</v>
      </c>
      <c r="C15" s="21" t="n">
        <v>0.5375</v>
      </c>
      <c r="D15" s="21" t="n">
        <v>0.539583333333333</v>
      </c>
      <c r="E15" s="8" t="n">
        <f aca="false">IF(OR(C15="",D15=""),"",ROUND((D15-C15)*1440,0))</f>
        <v>3</v>
      </c>
      <c r="F15" s="15" t="s">
        <v>116</v>
      </c>
      <c r="G15" s="15" t="s">
        <v>117</v>
      </c>
      <c r="H15" s="22" t="s">
        <v>128</v>
      </c>
      <c r="I15" s="15" t="s">
        <v>108</v>
      </c>
    </row>
    <row r="16" customFormat="false" ht="15" hidden="false" customHeight="false" outlineLevel="0" collapsed="false">
      <c r="A16" s="14" t="n">
        <v>46297</v>
      </c>
      <c r="B16" s="15" t="s">
        <v>66</v>
      </c>
      <c r="C16" s="21" t="n">
        <v>0.566666666666667</v>
      </c>
      <c r="D16" s="21" t="n">
        <v>0.56875</v>
      </c>
      <c r="E16" s="8" t="n">
        <f aca="false">IF(OR(C16="",D16=""),"",ROUND((D16-C16)*1440,0))</f>
        <v>3</v>
      </c>
      <c r="F16" s="15" t="s">
        <v>116</v>
      </c>
      <c r="G16" s="15" t="s">
        <v>117</v>
      </c>
      <c r="H16" s="22" t="s">
        <v>128</v>
      </c>
      <c r="I16" s="15" t="s">
        <v>108</v>
      </c>
    </row>
    <row r="17" customFormat="false" ht="15" hidden="false" customHeight="false" outlineLevel="0" collapsed="false">
      <c r="A17" s="14" t="n">
        <v>46297</v>
      </c>
      <c r="B17" s="15" t="s">
        <v>66</v>
      </c>
      <c r="C17" s="21" t="n">
        <v>0.577083333333333</v>
      </c>
      <c r="D17" s="21" t="n">
        <v>0.579166666666667</v>
      </c>
      <c r="E17" s="8" t="n">
        <f aca="false">IF(OR(C17="",D17=""),"",ROUND((D17-C17)*1440,0))</f>
        <v>3</v>
      </c>
      <c r="F17" s="15" t="s">
        <v>116</v>
      </c>
      <c r="G17" s="15" t="s">
        <v>117</v>
      </c>
      <c r="H17" s="22" t="s">
        <v>129</v>
      </c>
      <c r="I17" s="15" t="s">
        <v>108</v>
      </c>
    </row>
    <row r="18" customFormat="false" ht="15" hidden="false" customHeight="false" outlineLevel="0" collapsed="false">
      <c r="A18" s="14" t="n">
        <v>46297</v>
      </c>
      <c r="B18" s="15" t="s">
        <v>66</v>
      </c>
      <c r="C18" s="21" t="n">
        <v>0.5875</v>
      </c>
      <c r="D18" s="21" t="n">
        <v>0.589583333333333</v>
      </c>
      <c r="E18" s="8" t="n">
        <f aca="false">IF(OR(C18="",D18=""),"",ROUND((D18-C18)*1440,0))</f>
        <v>3</v>
      </c>
      <c r="F18" s="15" t="s">
        <v>116</v>
      </c>
      <c r="G18" s="15" t="s">
        <v>117</v>
      </c>
      <c r="H18" s="22" t="s">
        <v>128</v>
      </c>
      <c r="I18" s="15" t="s">
        <v>108</v>
      </c>
    </row>
    <row r="19" customFormat="false" ht="15" hidden="false" customHeight="false" outlineLevel="0" collapsed="false">
      <c r="A19" s="14" t="n">
        <v>46297</v>
      </c>
      <c r="B19" s="15" t="s">
        <v>66</v>
      </c>
      <c r="C19" s="21" t="n">
        <v>0.597916666666667</v>
      </c>
      <c r="D19" s="21" t="n">
        <v>0.6</v>
      </c>
      <c r="E19" s="8" t="n">
        <f aca="false">IF(OR(C19="",D19=""),"",ROUND((D19-C19)*1440,0))</f>
        <v>3</v>
      </c>
      <c r="F19" s="15" t="s">
        <v>116</v>
      </c>
      <c r="G19" s="15" t="s">
        <v>117</v>
      </c>
      <c r="H19" s="22" t="s">
        <v>129</v>
      </c>
      <c r="I19" s="15" t="s">
        <v>108</v>
      </c>
    </row>
    <row r="20" customFormat="false" ht="23.85" hidden="false" customHeight="false" outlineLevel="0" collapsed="false">
      <c r="A20" s="14" t="n">
        <v>46297</v>
      </c>
      <c r="B20" s="15" t="s">
        <v>66</v>
      </c>
      <c r="C20" s="21" t="n">
        <v>0.611111111111111</v>
      </c>
      <c r="D20" s="21" t="n">
        <v>0.625</v>
      </c>
      <c r="E20" s="8" t="n">
        <f aca="false">IF(OR(C20="",D20=""),"",ROUND((D20-C20)*1440,0))</f>
        <v>20</v>
      </c>
      <c r="F20" s="15" t="s">
        <v>61</v>
      </c>
      <c r="G20" s="15" t="s">
        <v>117</v>
      </c>
      <c r="H20" s="22" t="s">
        <v>130</v>
      </c>
      <c r="I20" s="15" t="s">
        <v>108</v>
      </c>
    </row>
  </sheetData>
  <dataValidations count="3">
    <dataValidation allowBlank="true" errorStyle="stop" operator="between" showDropDown="false" showErrorMessage="false" showInputMessage="false" sqref="B2:B400" type="list">
      <formula1>Lists!$A$2:$A$4</formula1>
      <formula2>0</formula2>
    </dataValidation>
    <dataValidation allowBlank="true" errorStyle="stop" operator="between" showDropDown="false" showErrorMessage="false" showInputMessage="false" sqref="F2:F400" type="list">
      <formula1>Lists!$B$2:$B$11</formula1>
      <formula2>0</formula2>
    </dataValidation>
    <dataValidation allowBlank="true" errorStyle="stop" operator="between" showDropDown="false" showErrorMessage="false" showInputMessage="false" sqref="G2:G400" type="list">
      <formula1>Lists!$C$2:$C$5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0"/>
    <col collapsed="false" customWidth="true" hidden="false" outlineLevel="0" max="4" min="4" style="0" width="36"/>
    <col collapsed="false" customWidth="true" hidden="false" outlineLevel="0" max="5" min="5" style="0" width="13"/>
    <col collapsed="false" customWidth="true" hidden="false" outlineLevel="0" max="6" min="6" style="0" width="9"/>
    <col collapsed="false" customWidth="true" hidden="false" outlineLevel="0" max="7" min="7" style="0" width="12"/>
    <col collapsed="false" customWidth="true" hidden="false" outlineLevel="0" max="9" min="8" style="0" width="8"/>
    <col collapsed="false" customWidth="true" hidden="false" outlineLevel="0" max="10" min="10" style="0" width="9"/>
    <col collapsed="false" customWidth="true" hidden="false" outlineLevel="0" max="11" min="11" style="0" width="10"/>
  </cols>
  <sheetData>
    <row r="1" customFormat="false" ht="33.75" hidden="false" customHeight="true" outlineLevel="0" collapsed="false">
      <c r="A1" s="5" t="s">
        <v>96</v>
      </c>
      <c r="B1" s="5" t="s">
        <v>56</v>
      </c>
      <c r="C1" s="5" t="s">
        <v>131</v>
      </c>
      <c r="D1" s="5" t="s">
        <v>19</v>
      </c>
      <c r="E1" s="5" t="s">
        <v>132</v>
      </c>
      <c r="F1" s="5" t="s">
        <v>133</v>
      </c>
      <c r="G1" s="5" t="s">
        <v>21</v>
      </c>
      <c r="H1" s="5" t="s">
        <v>71</v>
      </c>
      <c r="I1" s="5" t="s">
        <v>72</v>
      </c>
      <c r="J1" s="5" t="s">
        <v>134</v>
      </c>
      <c r="K1" s="5" t="s">
        <v>105</v>
      </c>
    </row>
    <row r="2" customFormat="false" ht="15" hidden="false" customHeight="false" outlineLevel="0" collapsed="false">
      <c r="A2" s="14" t="n">
        <v>46293</v>
      </c>
      <c r="B2" s="15" t="s">
        <v>61</v>
      </c>
      <c r="C2" s="21" t="n">
        <v>0.395833333333333</v>
      </c>
      <c r="D2" s="15" t="s">
        <v>73</v>
      </c>
      <c r="E2" s="15" t="s">
        <v>62</v>
      </c>
      <c r="F2" s="16" t="n">
        <v>1090</v>
      </c>
      <c r="G2" s="17" t="str">
        <f aca="false">IFERROR(INDEX(Plan!$F$38:$F$51,MATCH(B2&amp;"|"&amp;D2&amp;"|"&amp;E2,Plan!$G$38:$G$51,0)),INDEX(Plan!$F$38:$F$51,MATCH(B2&amp;"|"&amp;D2&amp;"|All",Plan!$G$38:$G$51,0)))</f>
        <v>kg/hr</v>
      </c>
      <c r="H2" s="17" t="n">
        <f aca="false">IFERROR(INDEX(Plan!$D$38:$D$51,MATCH(B2&amp;"|"&amp;D2&amp;"|"&amp;E2,Plan!$G$38:$G$51,0)),INDEX(Plan!$D$38:$D$51,MATCH(B2&amp;"|"&amp;D2&amp;"|All",Plan!$G$38:$G$51,0)))</f>
        <v>1050</v>
      </c>
      <c r="I2" s="17" t="n">
        <f aca="false">IFERROR(INDEX(Plan!$E$38:$E$51,MATCH(B2&amp;"|"&amp;D2&amp;"|"&amp;E2,Plan!$G$38:$G$51,0)),INDEX(Plan!$E$38:$E$51,MATCH(B2&amp;"|"&amp;D2&amp;"|All",Plan!$G$38:$G$51,0)))</f>
        <v>1300</v>
      </c>
      <c r="J2" s="8" t="str">
        <f aca="false">IF(F2="","MISSING",IF(AND(F2&gt;=H2,F2&lt;=I2),"OK","OUT"))</f>
        <v>OK</v>
      </c>
      <c r="K2" s="15" t="s">
        <v>106</v>
      </c>
    </row>
    <row r="3" customFormat="false" ht="15" hidden="false" customHeight="false" outlineLevel="0" collapsed="false">
      <c r="A3" s="14" t="n">
        <v>46293</v>
      </c>
      <c r="B3" s="15" t="s">
        <v>61</v>
      </c>
      <c r="C3" s="21" t="n">
        <v>0.395833333333333</v>
      </c>
      <c r="D3" s="22" t="s">
        <v>75</v>
      </c>
      <c r="E3" s="15" t="s">
        <v>62</v>
      </c>
      <c r="F3" s="23" t="n">
        <v>1.4</v>
      </c>
      <c r="G3" s="17" t="str">
        <f aca="false">IFERROR(INDEX(Plan!$F$38:$F$51,MATCH(B3&amp;"|"&amp;D3&amp;"|"&amp;E3,Plan!$G$38:$G$51,0)),INDEX(Plan!$F$38:$F$51,MATCH(B3&amp;"|"&amp;D3&amp;"|All",Plan!$G$38:$G$51,0)))</f>
        <v>%</v>
      </c>
      <c r="H3" s="17" t="n">
        <f aca="false">IFERROR(INDEX(Plan!$D$38:$D$51,MATCH(B3&amp;"|"&amp;D3&amp;"|"&amp;E3,Plan!$G$38:$G$51,0)),INDEX(Plan!$D$38:$D$51,MATCH(B3&amp;"|"&amp;D3&amp;"|All",Plan!$G$38:$G$51,0)))</f>
        <v>0</v>
      </c>
      <c r="I3" s="17" t="n">
        <f aca="false">IFERROR(INDEX(Plan!$E$38:$E$51,MATCH(B3&amp;"|"&amp;D3&amp;"|"&amp;E3,Plan!$G$38:$G$51,0)),INDEX(Plan!$E$38:$E$51,MATCH(B3&amp;"|"&amp;D3&amp;"|All",Plan!$G$38:$G$51,0)))</f>
        <v>2</v>
      </c>
      <c r="J3" s="8" t="str">
        <f aca="false">IF(F3="","MISSING",IF(AND(F3&gt;=H3,F3&lt;=I3),"OK","OUT"))</f>
        <v>OK</v>
      </c>
      <c r="K3" s="15" t="s">
        <v>106</v>
      </c>
    </row>
    <row r="4" customFormat="false" ht="15" hidden="false" customHeight="false" outlineLevel="0" collapsed="false">
      <c r="A4" s="14" t="n">
        <v>46293</v>
      </c>
      <c r="B4" s="15" t="s">
        <v>61</v>
      </c>
      <c r="C4" s="21" t="n">
        <v>0.395833333333333</v>
      </c>
      <c r="D4" s="22" t="s">
        <v>76</v>
      </c>
      <c r="E4" s="15" t="s">
        <v>62</v>
      </c>
      <c r="F4" s="16" t="n">
        <v>14</v>
      </c>
      <c r="G4" s="17" t="str">
        <f aca="false">IFERROR(INDEX(Plan!$F$38:$F$51,MATCH(B4&amp;"|"&amp;D4&amp;"|"&amp;E4,Plan!$G$38:$G$51,0)),INDEX(Plan!$F$38:$F$51,MATCH(B4&amp;"|"&amp;D4&amp;"|All",Plan!$G$38:$G$51,0)))</f>
        <v>kg</v>
      </c>
      <c r="H4" s="17" t="n">
        <f aca="false">IFERROR(INDEX(Plan!$D$38:$D$51,MATCH(B4&amp;"|"&amp;D4&amp;"|"&amp;E4,Plan!$G$38:$G$51,0)),INDEX(Plan!$D$38:$D$51,MATCH(B4&amp;"|"&amp;D4&amp;"|All",Plan!$G$38:$G$51,0)))</f>
        <v>0</v>
      </c>
      <c r="I4" s="17" t="n">
        <f aca="false">IFERROR(INDEX(Plan!$E$38:$E$51,MATCH(B4&amp;"|"&amp;D4&amp;"|"&amp;E4,Plan!$G$38:$G$51,0)),INDEX(Plan!$E$38:$E$51,MATCH(B4&amp;"|"&amp;D4&amp;"|All",Plan!$G$38:$G$51,0)))</f>
        <v>35</v>
      </c>
      <c r="J4" s="8" t="str">
        <f aca="false">IF(F4="","MISSING",IF(AND(F4&gt;=H4,F4&lt;=I4),"OK","OUT"))</f>
        <v>OK</v>
      </c>
      <c r="K4" s="15" t="s">
        <v>106</v>
      </c>
    </row>
    <row r="5" customFormat="false" ht="15" hidden="false" customHeight="false" outlineLevel="0" collapsed="false">
      <c r="A5" s="14" t="n">
        <v>46293</v>
      </c>
      <c r="B5" s="15" t="s">
        <v>61</v>
      </c>
      <c r="C5" s="21" t="n">
        <v>0.395833333333333</v>
      </c>
      <c r="D5" s="22" t="s">
        <v>78</v>
      </c>
      <c r="E5" s="15" t="s">
        <v>62</v>
      </c>
      <c r="F5" s="23" t="n">
        <v>9.7</v>
      </c>
      <c r="G5" s="17" t="str">
        <f aca="false">IFERROR(INDEX(Plan!$F$38:$F$51,MATCH(B5&amp;"|"&amp;D5&amp;"|"&amp;E5,Plan!$G$38:$G$51,0)),INDEX(Plan!$F$38:$F$51,MATCH(B5&amp;"|"&amp;D5&amp;"|All",Plan!$G$38:$G$51,0)))</f>
        <v>%</v>
      </c>
      <c r="H5" s="17" t="n">
        <f aca="false">IFERROR(INDEX(Plan!$D$38:$D$51,MATCH(B5&amp;"|"&amp;D5&amp;"|"&amp;E5,Plan!$G$38:$G$51,0)),INDEX(Plan!$D$38:$D$51,MATCH(B5&amp;"|"&amp;D5&amp;"|All",Plan!$G$38:$G$51,0)))</f>
        <v>8</v>
      </c>
      <c r="I5" s="17" t="n">
        <f aca="false">IFERROR(INDEX(Plan!$E$38:$E$51,MATCH(B5&amp;"|"&amp;D5&amp;"|"&amp;E5,Plan!$G$38:$G$51,0)),INDEX(Plan!$E$38:$E$51,MATCH(B5&amp;"|"&amp;D5&amp;"|All",Plan!$G$38:$G$51,0)))</f>
        <v>11</v>
      </c>
      <c r="J5" s="8" t="str">
        <f aca="false">IF(F5="","MISSING",IF(AND(F5&gt;=H5,F5&lt;=I5),"OK","OUT"))</f>
        <v>OK</v>
      </c>
      <c r="K5" s="15" t="s">
        <v>106</v>
      </c>
    </row>
    <row r="6" customFormat="false" ht="15" hidden="false" customHeight="false" outlineLevel="0" collapsed="false">
      <c r="A6" s="14" t="n">
        <v>46293</v>
      </c>
      <c r="B6" s="15" t="s">
        <v>61</v>
      </c>
      <c r="C6" s="21" t="n">
        <v>0.416666666666667</v>
      </c>
      <c r="D6" s="15" t="s">
        <v>73</v>
      </c>
      <c r="E6" s="15" t="s">
        <v>62</v>
      </c>
      <c r="F6" s="16" t="n">
        <v>1090</v>
      </c>
      <c r="G6" s="17" t="str">
        <f aca="false">IFERROR(INDEX(Plan!$F$38:$F$51,MATCH(B6&amp;"|"&amp;D6&amp;"|"&amp;E6,Plan!$G$38:$G$51,0)),INDEX(Plan!$F$38:$F$51,MATCH(B6&amp;"|"&amp;D6&amp;"|All",Plan!$G$38:$G$51,0)))</f>
        <v>kg/hr</v>
      </c>
      <c r="H6" s="17" t="n">
        <f aca="false">IFERROR(INDEX(Plan!$D$38:$D$51,MATCH(B6&amp;"|"&amp;D6&amp;"|"&amp;E6,Plan!$G$38:$G$51,0)),INDEX(Plan!$D$38:$D$51,MATCH(B6&amp;"|"&amp;D6&amp;"|All",Plan!$G$38:$G$51,0)))</f>
        <v>1050</v>
      </c>
      <c r="I6" s="17" t="n">
        <f aca="false">IFERROR(INDEX(Plan!$E$38:$E$51,MATCH(B6&amp;"|"&amp;D6&amp;"|"&amp;E6,Plan!$G$38:$G$51,0)),INDEX(Plan!$E$38:$E$51,MATCH(B6&amp;"|"&amp;D6&amp;"|All",Plan!$G$38:$G$51,0)))</f>
        <v>1300</v>
      </c>
      <c r="J6" s="8" t="str">
        <f aca="false">IF(F6="","MISSING",IF(AND(F6&gt;=H6,F6&lt;=I6),"OK","OUT"))</f>
        <v>OK</v>
      </c>
      <c r="K6" s="15" t="s">
        <v>106</v>
      </c>
    </row>
    <row r="7" customFormat="false" ht="15" hidden="false" customHeight="false" outlineLevel="0" collapsed="false">
      <c r="A7" s="14" t="n">
        <v>46293</v>
      </c>
      <c r="B7" s="15" t="s">
        <v>61</v>
      </c>
      <c r="C7" s="21" t="n">
        <v>0.416666666666667</v>
      </c>
      <c r="D7" s="22" t="s">
        <v>75</v>
      </c>
      <c r="E7" s="15" t="s">
        <v>62</v>
      </c>
      <c r="F7" s="23" t="n">
        <v>1.7</v>
      </c>
      <c r="G7" s="17" t="str">
        <f aca="false">IFERROR(INDEX(Plan!$F$38:$F$51,MATCH(B7&amp;"|"&amp;D7&amp;"|"&amp;E7,Plan!$G$38:$G$51,0)),INDEX(Plan!$F$38:$F$51,MATCH(B7&amp;"|"&amp;D7&amp;"|All",Plan!$G$38:$G$51,0)))</f>
        <v>%</v>
      </c>
      <c r="H7" s="17" t="n">
        <f aca="false">IFERROR(INDEX(Plan!$D$38:$D$51,MATCH(B7&amp;"|"&amp;D7&amp;"|"&amp;E7,Plan!$G$38:$G$51,0)),INDEX(Plan!$D$38:$D$51,MATCH(B7&amp;"|"&amp;D7&amp;"|All",Plan!$G$38:$G$51,0)))</f>
        <v>0</v>
      </c>
      <c r="I7" s="17" t="n">
        <f aca="false">IFERROR(INDEX(Plan!$E$38:$E$51,MATCH(B7&amp;"|"&amp;D7&amp;"|"&amp;E7,Plan!$G$38:$G$51,0)),INDEX(Plan!$E$38:$E$51,MATCH(B7&amp;"|"&amp;D7&amp;"|All",Plan!$G$38:$G$51,0)))</f>
        <v>2</v>
      </c>
      <c r="J7" s="8" t="str">
        <f aca="false">IF(F7="","MISSING",IF(AND(F7&gt;=H7,F7&lt;=I7),"OK","OUT"))</f>
        <v>OK</v>
      </c>
      <c r="K7" s="15" t="s">
        <v>106</v>
      </c>
    </row>
    <row r="8" customFormat="false" ht="15" hidden="false" customHeight="false" outlineLevel="0" collapsed="false">
      <c r="A8" s="14" t="n">
        <v>46293</v>
      </c>
      <c r="B8" s="15" t="s">
        <v>61</v>
      </c>
      <c r="C8" s="21" t="n">
        <v>0.416666666666667</v>
      </c>
      <c r="D8" s="22" t="s">
        <v>76</v>
      </c>
      <c r="E8" s="15" t="s">
        <v>62</v>
      </c>
      <c r="F8" s="16" t="n">
        <v>27</v>
      </c>
      <c r="G8" s="17" t="str">
        <f aca="false">IFERROR(INDEX(Plan!$F$38:$F$51,MATCH(B8&amp;"|"&amp;D8&amp;"|"&amp;E8,Plan!$G$38:$G$51,0)),INDEX(Plan!$F$38:$F$51,MATCH(B8&amp;"|"&amp;D8&amp;"|All",Plan!$G$38:$G$51,0)))</f>
        <v>kg</v>
      </c>
      <c r="H8" s="17" t="n">
        <f aca="false">IFERROR(INDEX(Plan!$D$38:$D$51,MATCH(B8&amp;"|"&amp;D8&amp;"|"&amp;E8,Plan!$G$38:$G$51,0)),INDEX(Plan!$D$38:$D$51,MATCH(B8&amp;"|"&amp;D8&amp;"|All",Plan!$G$38:$G$51,0)))</f>
        <v>0</v>
      </c>
      <c r="I8" s="17" t="n">
        <f aca="false">IFERROR(INDEX(Plan!$E$38:$E$51,MATCH(B8&amp;"|"&amp;D8&amp;"|"&amp;E8,Plan!$G$38:$G$51,0)),INDEX(Plan!$E$38:$E$51,MATCH(B8&amp;"|"&amp;D8&amp;"|All",Plan!$G$38:$G$51,0)))</f>
        <v>35</v>
      </c>
      <c r="J8" s="8" t="str">
        <f aca="false">IF(F8="","MISSING",IF(AND(F8&gt;=H8,F8&lt;=I8),"OK","OUT"))</f>
        <v>OK</v>
      </c>
      <c r="K8" s="15" t="s">
        <v>106</v>
      </c>
    </row>
    <row r="9" customFormat="false" ht="15" hidden="false" customHeight="false" outlineLevel="0" collapsed="false">
      <c r="A9" s="14" t="n">
        <v>46293</v>
      </c>
      <c r="B9" s="15" t="s">
        <v>61</v>
      </c>
      <c r="C9" s="21" t="n">
        <v>0.416666666666667</v>
      </c>
      <c r="D9" s="22" t="s">
        <v>78</v>
      </c>
      <c r="E9" s="15" t="s">
        <v>62</v>
      </c>
      <c r="F9" s="23" t="n">
        <v>10.1</v>
      </c>
      <c r="G9" s="17" t="str">
        <f aca="false">IFERROR(INDEX(Plan!$F$38:$F$51,MATCH(B9&amp;"|"&amp;D9&amp;"|"&amp;E9,Plan!$G$38:$G$51,0)),INDEX(Plan!$F$38:$F$51,MATCH(B9&amp;"|"&amp;D9&amp;"|All",Plan!$G$38:$G$51,0)))</f>
        <v>%</v>
      </c>
      <c r="H9" s="17" t="n">
        <f aca="false">IFERROR(INDEX(Plan!$D$38:$D$51,MATCH(B9&amp;"|"&amp;D9&amp;"|"&amp;E9,Plan!$G$38:$G$51,0)),INDEX(Plan!$D$38:$D$51,MATCH(B9&amp;"|"&amp;D9&amp;"|All",Plan!$G$38:$G$51,0)))</f>
        <v>8</v>
      </c>
      <c r="I9" s="17" t="n">
        <f aca="false">IFERROR(INDEX(Plan!$E$38:$E$51,MATCH(B9&amp;"|"&amp;D9&amp;"|"&amp;E9,Plan!$G$38:$G$51,0)),INDEX(Plan!$E$38:$E$51,MATCH(B9&amp;"|"&amp;D9&amp;"|All",Plan!$G$38:$G$51,0)))</f>
        <v>11</v>
      </c>
      <c r="J9" s="8" t="str">
        <f aca="false">IF(F9="","MISSING",IF(AND(F9&gt;=H9,F9&lt;=I9),"OK","OUT"))</f>
        <v>OK</v>
      </c>
      <c r="K9" s="15" t="s">
        <v>106</v>
      </c>
    </row>
    <row r="10" customFormat="false" ht="15" hidden="false" customHeight="false" outlineLevel="0" collapsed="false">
      <c r="A10" s="14" t="n">
        <v>46293</v>
      </c>
      <c r="B10" s="15" t="s">
        <v>61</v>
      </c>
      <c r="C10" s="21" t="n">
        <v>0.4375</v>
      </c>
      <c r="D10" s="15" t="s">
        <v>73</v>
      </c>
      <c r="E10" s="15" t="s">
        <v>62</v>
      </c>
      <c r="F10" s="16" t="n">
        <v>1090</v>
      </c>
      <c r="G10" s="17" t="str">
        <f aca="false">IFERROR(INDEX(Plan!$F$38:$F$51,MATCH(B10&amp;"|"&amp;D10&amp;"|"&amp;E10,Plan!$G$38:$G$51,0)),INDEX(Plan!$F$38:$F$51,MATCH(B10&amp;"|"&amp;D10&amp;"|All",Plan!$G$38:$G$51,0)))</f>
        <v>kg/hr</v>
      </c>
      <c r="H10" s="17" t="n">
        <f aca="false">IFERROR(INDEX(Plan!$D$38:$D$51,MATCH(B10&amp;"|"&amp;D10&amp;"|"&amp;E10,Plan!$G$38:$G$51,0)),INDEX(Plan!$D$38:$D$51,MATCH(B10&amp;"|"&amp;D10&amp;"|All",Plan!$G$38:$G$51,0)))</f>
        <v>1050</v>
      </c>
      <c r="I10" s="17" t="n">
        <f aca="false">IFERROR(INDEX(Plan!$E$38:$E$51,MATCH(B10&amp;"|"&amp;D10&amp;"|"&amp;E10,Plan!$G$38:$G$51,0)),INDEX(Plan!$E$38:$E$51,MATCH(B10&amp;"|"&amp;D10&amp;"|All",Plan!$G$38:$G$51,0)))</f>
        <v>1300</v>
      </c>
      <c r="J10" s="8" t="str">
        <f aca="false">IF(F10="","MISSING",IF(AND(F10&gt;=H10,F10&lt;=I10),"OK","OUT"))</f>
        <v>OK</v>
      </c>
      <c r="K10" s="15" t="s">
        <v>106</v>
      </c>
    </row>
    <row r="11" customFormat="false" ht="15" hidden="false" customHeight="false" outlineLevel="0" collapsed="false">
      <c r="A11" s="14" t="n">
        <v>46293</v>
      </c>
      <c r="B11" s="15" t="s">
        <v>61</v>
      </c>
      <c r="C11" s="21" t="n">
        <v>0.4375</v>
      </c>
      <c r="D11" s="22" t="s">
        <v>75</v>
      </c>
      <c r="E11" s="15" t="s">
        <v>62</v>
      </c>
      <c r="F11" s="23" t="n">
        <v>1.7</v>
      </c>
      <c r="G11" s="17" t="str">
        <f aca="false">IFERROR(INDEX(Plan!$F$38:$F$51,MATCH(B11&amp;"|"&amp;D11&amp;"|"&amp;E11,Plan!$G$38:$G$51,0)),INDEX(Plan!$F$38:$F$51,MATCH(B11&amp;"|"&amp;D11&amp;"|All",Plan!$G$38:$G$51,0)))</f>
        <v>%</v>
      </c>
      <c r="H11" s="17" t="n">
        <f aca="false">IFERROR(INDEX(Plan!$D$38:$D$51,MATCH(B11&amp;"|"&amp;D11&amp;"|"&amp;E11,Plan!$G$38:$G$51,0)),INDEX(Plan!$D$38:$D$51,MATCH(B11&amp;"|"&amp;D11&amp;"|All",Plan!$G$38:$G$51,0)))</f>
        <v>0</v>
      </c>
      <c r="I11" s="17" t="n">
        <f aca="false">IFERROR(INDEX(Plan!$E$38:$E$51,MATCH(B11&amp;"|"&amp;D11&amp;"|"&amp;E11,Plan!$G$38:$G$51,0)),INDEX(Plan!$E$38:$E$51,MATCH(B11&amp;"|"&amp;D11&amp;"|All",Plan!$G$38:$G$51,0)))</f>
        <v>2</v>
      </c>
      <c r="J11" s="8" t="str">
        <f aca="false">IF(F11="","MISSING",IF(AND(F11&gt;=H11,F11&lt;=I11),"OK","OUT"))</f>
        <v>OK</v>
      </c>
      <c r="K11" s="15" t="s">
        <v>106</v>
      </c>
    </row>
    <row r="12" customFormat="false" ht="15" hidden="false" customHeight="false" outlineLevel="0" collapsed="false">
      <c r="A12" s="14" t="n">
        <v>46293</v>
      </c>
      <c r="B12" s="15" t="s">
        <v>61</v>
      </c>
      <c r="C12" s="21" t="n">
        <v>0.4375</v>
      </c>
      <c r="D12" s="22" t="s">
        <v>76</v>
      </c>
      <c r="E12" s="15" t="s">
        <v>62</v>
      </c>
      <c r="F12" s="16" t="n">
        <v>27</v>
      </c>
      <c r="G12" s="17" t="str">
        <f aca="false">IFERROR(INDEX(Plan!$F$38:$F$51,MATCH(B12&amp;"|"&amp;D12&amp;"|"&amp;E12,Plan!$G$38:$G$51,0)),INDEX(Plan!$F$38:$F$51,MATCH(B12&amp;"|"&amp;D12&amp;"|All",Plan!$G$38:$G$51,0)))</f>
        <v>kg</v>
      </c>
      <c r="H12" s="17" t="n">
        <f aca="false">IFERROR(INDEX(Plan!$D$38:$D$51,MATCH(B12&amp;"|"&amp;D12&amp;"|"&amp;E12,Plan!$G$38:$G$51,0)),INDEX(Plan!$D$38:$D$51,MATCH(B12&amp;"|"&amp;D12&amp;"|All",Plan!$G$38:$G$51,0)))</f>
        <v>0</v>
      </c>
      <c r="I12" s="17" t="n">
        <f aca="false">IFERROR(INDEX(Plan!$E$38:$E$51,MATCH(B12&amp;"|"&amp;D12&amp;"|"&amp;E12,Plan!$G$38:$G$51,0)),INDEX(Plan!$E$38:$E$51,MATCH(B12&amp;"|"&amp;D12&amp;"|All",Plan!$G$38:$G$51,0)))</f>
        <v>35</v>
      </c>
      <c r="J12" s="8" t="str">
        <f aca="false">IF(F12="","MISSING",IF(AND(F12&gt;=H12,F12&lt;=I12),"OK","OUT"))</f>
        <v>OK</v>
      </c>
      <c r="K12" s="15" t="s">
        <v>106</v>
      </c>
    </row>
    <row r="13" customFormat="false" ht="15" hidden="false" customHeight="false" outlineLevel="0" collapsed="false">
      <c r="A13" s="14" t="n">
        <v>46293</v>
      </c>
      <c r="B13" s="15" t="s">
        <v>61</v>
      </c>
      <c r="C13" s="21" t="n">
        <v>0.4375</v>
      </c>
      <c r="D13" s="22" t="s">
        <v>78</v>
      </c>
      <c r="E13" s="15" t="s">
        <v>62</v>
      </c>
      <c r="F13" s="23" t="n">
        <v>10.2</v>
      </c>
      <c r="G13" s="17" t="str">
        <f aca="false">IFERROR(INDEX(Plan!$F$38:$F$51,MATCH(B13&amp;"|"&amp;D13&amp;"|"&amp;E13,Plan!$G$38:$G$51,0)),INDEX(Plan!$F$38:$F$51,MATCH(B13&amp;"|"&amp;D13&amp;"|All",Plan!$G$38:$G$51,0)))</f>
        <v>%</v>
      </c>
      <c r="H13" s="17" t="n">
        <f aca="false">IFERROR(INDEX(Plan!$D$38:$D$51,MATCH(B13&amp;"|"&amp;D13&amp;"|"&amp;E13,Plan!$G$38:$G$51,0)),INDEX(Plan!$D$38:$D$51,MATCH(B13&amp;"|"&amp;D13&amp;"|All",Plan!$G$38:$G$51,0)))</f>
        <v>8</v>
      </c>
      <c r="I13" s="17" t="n">
        <f aca="false">IFERROR(INDEX(Plan!$E$38:$E$51,MATCH(B13&amp;"|"&amp;D13&amp;"|"&amp;E13,Plan!$G$38:$G$51,0)),INDEX(Plan!$E$38:$E$51,MATCH(B13&amp;"|"&amp;D13&amp;"|All",Plan!$G$38:$G$51,0)))</f>
        <v>11</v>
      </c>
      <c r="J13" s="8" t="str">
        <f aca="false">IF(F13="","MISSING",IF(AND(F13&gt;=H13,F13&lt;=I13),"OK","OUT"))</f>
        <v>OK</v>
      </c>
      <c r="K13" s="15" t="s">
        <v>106</v>
      </c>
    </row>
    <row r="14" customFormat="false" ht="15" hidden="false" customHeight="false" outlineLevel="0" collapsed="false">
      <c r="A14" s="14" t="n">
        <v>46293</v>
      </c>
      <c r="B14" s="15" t="s">
        <v>61</v>
      </c>
      <c r="C14" s="21" t="n">
        <v>0.458333333333333</v>
      </c>
      <c r="D14" s="15" t="s">
        <v>73</v>
      </c>
      <c r="E14" s="15" t="s">
        <v>62</v>
      </c>
      <c r="F14" s="16" t="n">
        <v>1090</v>
      </c>
      <c r="G14" s="17" t="str">
        <f aca="false">IFERROR(INDEX(Plan!$F$38:$F$51,MATCH(B14&amp;"|"&amp;D14&amp;"|"&amp;E14,Plan!$G$38:$G$51,0)),INDEX(Plan!$F$38:$F$51,MATCH(B14&amp;"|"&amp;D14&amp;"|All",Plan!$G$38:$G$51,0)))</f>
        <v>kg/hr</v>
      </c>
      <c r="H14" s="17" t="n">
        <f aca="false">IFERROR(INDEX(Plan!$D$38:$D$51,MATCH(B14&amp;"|"&amp;D14&amp;"|"&amp;E14,Plan!$G$38:$G$51,0)),INDEX(Plan!$D$38:$D$51,MATCH(B14&amp;"|"&amp;D14&amp;"|All",Plan!$G$38:$G$51,0)))</f>
        <v>1050</v>
      </c>
      <c r="I14" s="17" t="n">
        <f aca="false">IFERROR(INDEX(Plan!$E$38:$E$51,MATCH(B14&amp;"|"&amp;D14&amp;"|"&amp;E14,Plan!$G$38:$G$51,0)),INDEX(Plan!$E$38:$E$51,MATCH(B14&amp;"|"&amp;D14&amp;"|All",Plan!$G$38:$G$51,0)))</f>
        <v>1300</v>
      </c>
      <c r="J14" s="8" t="str">
        <f aca="false">IF(F14="","MISSING",IF(AND(F14&gt;=H14,F14&lt;=I14),"OK","OUT"))</f>
        <v>OK</v>
      </c>
      <c r="K14" s="15" t="s">
        <v>106</v>
      </c>
    </row>
    <row r="15" customFormat="false" ht="15" hidden="false" customHeight="false" outlineLevel="0" collapsed="false">
      <c r="A15" s="14" t="n">
        <v>46293</v>
      </c>
      <c r="B15" s="15" t="s">
        <v>61</v>
      </c>
      <c r="C15" s="21" t="n">
        <v>0.458333333333333</v>
      </c>
      <c r="D15" s="22" t="s">
        <v>75</v>
      </c>
      <c r="E15" s="15" t="s">
        <v>62</v>
      </c>
      <c r="F15" s="23" t="n">
        <v>4</v>
      </c>
      <c r="G15" s="17" t="str">
        <f aca="false">IFERROR(INDEX(Plan!$F$38:$F$51,MATCH(B15&amp;"|"&amp;D15&amp;"|"&amp;E15,Plan!$G$38:$G$51,0)),INDEX(Plan!$F$38:$F$51,MATCH(B15&amp;"|"&amp;D15&amp;"|All",Plan!$G$38:$G$51,0)))</f>
        <v>%</v>
      </c>
      <c r="H15" s="17" t="n">
        <f aca="false">IFERROR(INDEX(Plan!$D$38:$D$51,MATCH(B15&amp;"|"&amp;D15&amp;"|"&amp;E15,Plan!$G$38:$G$51,0)),INDEX(Plan!$D$38:$D$51,MATCH(B15&amp;"|"&amp;D15&amp;"|All",Plan!$G$38:$G$51,0)))</f>
        <v>0</v>
      </c>
      <c r="I15" s="17" t="n">
        <f aca="false">IFERROR(INDEX(Plan!$E$38:$E$51,MATCH(B15&amp;"|"&amp;D15&amp;"|"&amp;E15,Plan!$G$38:$G$51,0)),INDEX(Plan!$E$38:$E$51,MATCH(B15&amp;"|"&amp;D15&amp;"|All",Plan!$G$38:$G$51,0)))</f>
        <v>2</v>
      </c>
      <c r="J15" s="8" t="str">
        <f aca="false">IF(F15="","MISSING",IF(AND(F15&gt;=H15,F15&lt;=I15),"OK","OUT"))</f>
        <v>OUT</v>
      </c>
      <c r="K15" s="15" t="s">
        <v>106</v>
      </c>
    </row>
    <row r="16" customFormat="false" ht="15" hidden="false" customHeight="false" outlineLevel="0" collapsed="false">
      <c r="A16" s="14" t="n">
        <v>46293</v>
      </c>
      <c r="B16" s="15" t="s">
        <v>61</v>
      </c>
      <c r="C16" s="21" t="n">
        <v>0.458333333333333</v>
      </c>
      <c r="D16" s="22" t="s">
        <v>76</v>
      </c>
      <c r="E16" s="15" t="s">
        <v>62</v>
      </c>
      <c r="F16" s="16" t="n">
        <v>44</v>
      </c>
      <c r="G16" s="17" t="str">
        <f aca="false">IFERROR(INDEX(Plan!$F$38:$F$51,MATCH(B16&amp;"|"&amp;D16&amp;"|"&amp;E16,Plan!$G$38:$G$51,0)),INDEX(Plan!$F$38:$F$51,MATCH(B16&amp;"|"&amp;D16&amp;"|All",Plan!$G$38:$G$51,0)))</f>
        <v>kg</v>
      </c>
      <c r="H16" s="17" t="n">
        <f aca="false">IFERROR(INDEX(Plan!$D$38:$D$51,MATCH(B16&amp;"|"&amp;D16&amp;"|"&amp;E16,Plan!$G$38:$G$51,0)),INDEX(Plan!$D$38:$D$51,MATCH(B16&amp;"|"&amp;D16&amp;"|All",Plan!$G$38:$G$51,0)))</f>
        <v>0</v>
      </c>
      <c r="I16" s="17" t="n">
        <f aca="false">IFERROR(INDEX(Plan!$E$38:$E$51,MATCH(B16&amp;"|"&amp;D16&amp;"|"&amp;E16,Plan!$G$38:$G$51,0)),INDEX(Plan!$E$38:$E$51,MATCH(B16&amp;"|"&amp;D16&amp;"|All",Plan!$G$38:$G$51,0)))</f>
        <v>35</v>
      </c>
      <c r="J16" s="8" t="str">
        <f aca="false">IF(F16="","MISSING",IF(AND(F16&gt;=H16,F16&lt;=I16),"OK","OUT"))</f>
        <v>OUT</v>
      </c>
      <c r="K16" s="15" t="s">
        <v>106</v>
      </c>
    </row>
    <row r="17" customFormat="false" ht="15" hidden="false" customHeight="false" outlineLevel="0" collapsed="false">
      <c r="A17" s="14" t="n">
        <v>46293</v>
      </c>
      <c r="B17" s="15" t="s">
        <v>61</v>
      </c>
      <c r="C17" s="21" t="n">
        <v>0.458333333333333</v>
      </c>
      <c r="D17" s="22" t="s">
        <v>78</v>
      </c>
      <c r="E17" s="15" t="s">
        <v>62</v>
      </c>
      <c r="F17" s="23" t="n">
        <v>10.3</v>
      </c>
      <c r="G17" s="17" t="str">
        <f aca="false">IFERROR(INDEX(Plan!$F$38:$F$51,MATCH(B17&amp;"|"&amp;D17&amp;"|"&amp;E17,Plan!$G$38:$G$51,0)),INDEX(Plan!$F$38:$F$51,MATCH(B17&amp;"|"&amp;D17&amp;"|All",Plan!$G$38:$G$51,0)))</f>
        <v>%</v>
      </c>
      <c r="H17" s="17" t="n">
        <f aca="false">IFERROR(INDEX(Plan!$D$38:$D$51,MATCH(B17&amp;"|"&amp;D17&amp;"|"&amp;E17,Plan!$G$38:$G$51,0)),INDEX(Plan!$D$38:$D$51,MATCH(B17&amp;"|"&amp;D17&amp;"|All",Plan!$G$38:$G$51,0)))</f>
        <v>8</v>
      </c>
      <c r="I17" s="17" t="n">
        <f aca="false">IFERROR(INDEX(Plan!$E$38:$E$51,MATCH(B17&amp;"|"&amp;D17&amp;"|"&amp;E17,Plan!$G$38:$G$51,0)),INDEX(Plan!$E$38:$E$51,MATCH(B17&amp;"|"&amp;D17&amp;"|All",Plan!$G$38:$G$51,0)))</f>
        <v>11</v>
      </c>
      <c r="J17" s="8" t="str">
        <f aca="false">IF(F17="","MISSING",IF(AND(F17&gt;=H17,F17&lt;=I17),"OK","OUT"))</f>
        <v>OK</v>
      </c>
      <c r="K17" s="15" t="s">
        <v>106</v>
      </c>
    </row>
    <row r="18" customFormat="false" ht="15" hidden="false" customHeight="false" outlineLevel="0" collapsed="false">
      <c r="A18" s="14" t="n">
        <v>46293</v>
      </c>
      <c r="B18" s="15" t="s">
        <v>61</v>
      </c>
      <c r="C18" s="21" t="n">
        <v>0.479166666666667</v>
      </c>
      <c r="D18" s="15" t="s">
        <v>73</v>
      </c>
      <c r="E18" s="15" t="s">
        <v>62</v>
      </c>
      <c r="F18" s="16" t="n">
        <v>1090</v>
      </c>
      <c r="G18" s="17" t="str">
        <f aca="false">IFERROR(INDEX(Plan!$F$38:$F$51,MATCH(B18&amp;"|"&amp;D18&amp;"|"&amp;E18,Plan!$G$38:$G$51,0)),INDEX(Plan!$F$38:$F$51,MATCH(B18&amp;"|"&amp;D18&amp;"|All",Plan!$G$38:$G$51,0)))</f>
        <v>kg/hr</v>
      </c>
      <c r="H18" s="17" t="n">
        <f aca="false">IFERROR(INDEX(Plan!$D$38:$D$51,MATCH(B18&amp;"|"&amp;D18&amp;"|"&amp;E18,Plan!$G$38:$G$51,0)),INDEX(Plan!$D$38:$D$51,MATCH(B18&amp;"|"&amp;D18&amp;"|All",Plan!$G$38:$G$51,0)))</f>
        <v>1050</v>
      </c>
      <c r="I18" s="17" t="n">
        <f aca="false">IFERROR(INDEX(Plan!$E$38:$E$51,MATCH(B18&amp;"|"&amp;D18&amp;"|"&amp;E18,Plan!$G$38:$G$51,0)),INDEX(Plan!$E$38:$E$51,MATCH(B18&amp;"|"&amp;D18&amp;"|All",Plan!$G$38:$G$51,0)))</f>
        <v>1300</v>
      </c>
      <c r="J18" s="8" t="str">
        <f aca="false">IF(F18="","MISSING",IF(AND(F18&gt;=H18,F18&lt;=I18),"OK","OUT"))</f>
        <v>OK</v>
      </c>
      <c r="K18" s="15" t="s">
        <v>106</v>
      </c>
    </row>
    <row r="19" customFormat="false" ht="15" hidden="false" customHeight="false" outlineLevel="0" collapsed="false">
      <c r="A19" s="14" t="n">
        <v>46293</v>
      </c>
      <c r="B19" s="15" t="s">
        <v>61</v>
      </c>
      <c r="C19" s="21" t="n">
        <v>0.479166666666667</v>
      </c>
      <c r="D19" s="22" t="s">
        <v>75</v>
      </c>
      <c r="E19" s="15" t="s">
        <v>62</v>
      </c>
      <c r="F19" s="23" t="n">
        <v>6.7</v>
      </c>
      <c r="G19" s="17" t="str">
        <f aca="false">IFERROR(INDEX(Plan!$F$38:$F$51,MATCH(B19&amp;"|"&amp;D19&amp;"|"&amp;E19,Plan!$G$38:$G$51,0)),INDEX(Plan!$F$38:$F$51,MATCH(B19&amp;"|"&amp;D19&amp;"|All",Plan!$G$38:$G$51,0)))</f>
        <v>%</v>
      </c>
      <c r="H19" s="17" t="n">
        <f aca="false">IFERROR(INDEX(Plan!$D$38:$D$51,MATCH(B19&amp;"|"&amp;D19&amp;"|"&amp;E19,Plan!$G$38:$G$51,0)),INDEX(Plan!$D$38:$D$51,MATCH(B19&amp;"|"&amp;D19&amp;"|All",Plan!$G$38:$G$51,0)))</f>
        <v>0</v>
      </c>
      <c r="I19" s="17" t="n">
        <f aca="false">IFERROR(INDEX(Plan!$E$38:$E$51,MATCH(B19&amp;"|"&amp;D19&amp;"|"&amp;E19,Plan!$G$38:$G$51,0)),INDEX(Plan!$E$38:$E$51,MATCH(B19&amp;"|"&amp;D19&amp;"|All",Plan!$G$38:$G$51,0)))</f>
        <v>2</v>
      </c>
      <c r="J19" s="8" t="str">
        <f aca="false">IF(F19="","MISSING",IF(AND(F19&gt;=H19,F19&lt;=I19),"OK","OUT"))</f>
        <v>OUT</v>
      </c>
      <c r="K19" s="15" t="s">
        <v>106</v>
      </c>
    </row>
    <row r="20" customFormat="false" ht="15" hidden="false" customHeight="false" outlineLevel="0" collapsed="false">
      <c r="A20" s="14" t="n">
        <v>46293</v>
      </c>
      <c r="B20" s="15" t="s">
        <v>61</v>
      </c>
      <c r="C20" s="21" t="n">
        <v>0.479166666666667</v>
      </c>
      <c r="D20" s="22" t="s">
        <v>76</v>
      </c>
      <c r="E20" s="15" t="s">
        <v>62</v>
      </c>
      <c r="F20" s="16" t="n">
        <v>46</v>
      </c>
      <c r="G20" s="17" t="str">
        <f aca="false">IFERROR(INDEX(Plan!$F$38:$F$51,MATCH(B20&amp;"|"&amp;D20&amp;"|"&amp;E20,Plan!$G$38:$G$51,0)),INDEX(Plan!$F$38:$F$51,MATCH(B20&amp;"|"&amp;D20&amp;"|All",Plan!$G$38:$G$51,0)))</f>
        <v>kg</v>
      </c>
      <c r="H20" s="17" t="n">
        <f aca="false">IFERROR(INDEX(Plan!$D$38:$D$51,MATCH(B20&amp;"|"&amp;D20&amp;"|"&amp;E20,Plan!$G$38:$G$51,0)),INDEX(Plan!$D$38:$D$51,MATCH(B20&amp;"|"&amp;D20&amp;"|All",Plan!$G$38:$G$51,0)))</f>
        <v>0</v>
      </c>
      <c r="I20" s="17" t="n">
        <f aca="false">IFERROR(INDEX(Plan!$E$38:$E$51,MATCH(B20&amp;"|"&amp;D20&amp;"|"&amp;E20,Plan!$G$38:$G$51,0)),INDEX(Plan!$E$38:$E$51,MATCH(B20&amp;"|"&amp;D20&amp;"|All",Plan!$G$38:$G$51,0)))</f>
        <v>35</v>
      </c>
      <c r="J20" s="8" t="str">
        <f aca="false">IF(F20="","MISSING",IF(AND(F20&gt;=H20,F20&lt;=I20),"OK","OUT"))</f>
        <v>OUT</v>
      </c>
      <c r="K20" s="15" t="s">
        <v>106</v>
      </c>
    </row>
    <row r="21" customFormat="false" ht="15" hidden="false" customHeight="false" outlineLevel="0" collapsed="false">
      <c r="A21" s="14" t="n">
        <v>46293</v>
      </c>
      <c r="B21" s="15" t="s">
        <v>61</v>
      </c>
      <c r="C21" s="21" t="n">
        <v>0.479166666666667</v>
      </c>
      <c r="D21" s="22" t="s">
        <v>78</v>
      </c>
      <c r="E21" s="15" t="s">
        <v>62</v>
      </c>
      <c r="F21" s="23" t="n">
        <v>9.8</v>
      </c>
      <c r="G21" s="17" t="str">
        <f aca="false">IFERROR(INDEX(Plan!$F$38:$F$51,MATCH(B21&amp;"|"&amp;D21&amp;"|"&amp;E21,Plan!$G$38:$G$51,0)),INDEX(Plan!$F$38:$F$51,MATCH(B21&amp;"|"&amp;D21&amp;"|All",Plan!$G$38:$G$51,0)))</f>
        <v>%</v>
      </c>
      <c r="H21" s="17" t="n">
        <f aca="false">IFERROR(INDEX(Plan!$D$38:$D$51,MATCH(B21&amp;"|"&amp;D21&amp;"|"&amp;E21,Plan!$G$38:$G$51,0)),INDEX(Plan!$D$38:$D$51,MATCH(B21&amp;"|"&amp;D21&amp;"|All",Plan!$G$38:$G$51,0)))</f>
        <v>8</v>
      </c>
      <c r="I21" s="17" t="n">
        <f aca="false">IFERROR(INDEX(Plan!$E$38:$E$51,MATCH(B21&amp;"|"&amp;D21&amp;"|"&amp;E21,Plan!$G$38:$G$51,0)),INDEX(Plan!$E$38:$E$51,MATCH(B21&amp;"|"&amp;D21&amp;"|All",Plan!$G$38:$G$51,0)))</f>
        <v>11</v>
      </c>
      <c r="J21" s="8" t="str">
        <f aca="false">IF(F21="","MISSING",IF(AND(F21&gt;=H21,F21&lt;=I21),"OK","OUT"))</f>
        <v>OK</v>
      </c>
      <c r="K21" s="15" t="s">
        <v>106</v>
      </c>
    </row>
    <row r="22" customFormat="false" ht="15" hidden="false" customHeight="false" outlineLevel="0" collapsed="false">
      <c r="A22" s="14" t="n">
        <v>46293</v>
      </c>
      <c r="B22" s="15" t="s">
        <v>61</v>
      </c>
      <c r="C22" s="21" t="n">
        <v>0.5</v>
      </c>
      <c r="D22" s="15" t="s">
        <v>73</v>
      </c>
      <c r="E22" s="15" t="s">
        <v>62</v>
      </c>
      <c r="F22" s="16" t="n">
        <v>950</v>
      </c>
      <c r="G22" s="17" t="str">
        <f aca="false">IFERROR(INDEX(Plan!$F$38:$F$51,MATCH(B22&amp;"|"&amp;D22&amp;"|"&amp;E22,Plan!$G$38:$G$51,0)),INDEX(Plan!$F$38:$F$51,MATCH(B22&amp;"|"&amp;D22&amp;"|All",Plan!$G$38:$G$51,0)))</f>
        <v>kg/hr</v>
      </c>
      <c r="H22" s="17" t="n">
        <f aca="false">IFERROR(INDEX(Plan!$D$38:$D$51,MATCH(B22&amp;"|"&amp;D22&amp;"|"&amp;E22,Plan!$G$38:$G$51,0)),INDEX(Plan!$D$38:$D$51,MATCH(B22&amp;"|"&amp;D22&amp;"|All",Plan!$G$38:$G$51,0)))</f>
        <v>1050</v>
      </c>
      <c r="I22" s="17" t="n">
        <f aca="false">IFERROR(INDEX(Plan!$E$38:$E$51,MATCH(B22&amp;"|"&amp;D22&amp;"|"&amp;E22,Plan!$G$38:$G$51,0)),INDEX(Plan!$E$38:$E$51,MATCH(B22&amp;"|"&amp;D22&amp;"|All",Plan!$G$38:$G$51,0)))</f>
        <v>1300</v>
      </c>
      <c r="J22" s="8" t="str">
        <f aca="false">IF(F22="","MISSING",IF(AND(F22&gt;=H22,F22&lt;=I22),"OK","OUT"))</f>
        <v>OUT</v>
      </c>
      <c r="K22" s="15" t="s">
        <v>106</v>
      </c>
    </row>
    <row r="23" customFormat="false" ht="15" hidden="false" customHeight="false" outlineLevel="0" collapsed="false">
      <c r="A23" s="14" t="n">
        <v>46293</v>
      </c>
      <c r="B23" s="15" t="s">
        <v>61</v>
      </c>
      <c r="C23" s="21" t="n">
        <v>0.5</v>
      </c>
      <c r="D23" s="22" t="s">
        <v>75</v>
      </c>
      <c r="E23" s="15" t="s">
        <v>62</v>
      </c>
      <c r="F23" s="23" t="n">
        <v>6.5</v>
      </c>
      <c r="G23" s="17" t="str">
        <f aca="false">IFERROR(INDEX(Plan!$F$38:$F$51,MATCH(B23&amp;"|"&amp;D23&amp;"|"&amp;E23,Plan!$G$38:$G$51,0)),INDEX(Plan!$F$38:$F$51,MATCH(B23&amp;"|"&amp;D23&amp;"|All",Plan!$G$38:$G$51,0)))</f>
        <v>%</v>
      </c>
      <c r="H23" s="17" t="n">
        <f aca="false">IFERROR(INDEX(Plan!$D$38:$D$51,MATCH(B23&amp;"|"&amp;D23&amp;"|"&amp;E23,Plan!$G$38:$G$51,0)),INDEX(Plan!$D$38:$D$51,MATCH(B23&amp;"|"&amp;D23&amp;"|All",Plan!$G$38:$G$51,0)))</f>
        <v>0</v>
      </c>
      <c r="I23" s="17" t="n">
        <f aca="false">IFERROR(INDEX(Plan!$E$38:$E$51,MATCH(B23&amp;"|"&amp;D23&amp;"|"&amp;E23,Plan!$G$38:$G$51,0)),INDEX(Plan!$E$38:$E$51,MATCH(B23&amp;"|"&amp;D23&amp;"|All",Plan!$G$38:$G$51,0)))</f>
        <v>2</v>
      </c>
      <c r="J23" s="8" t="str">
        <f aca="false">IF(F23="","MISSING",IF(AND(F23&gt;=H23,F23&lt;=I23),"OK","OUT"))</f>
        <v>OUT</v>
      </c>
      <c r="K23" s="15" t="s">
        <v>106</v>
      </c>
    </row>
    <row r="24" customFormat="false" ht="15" hidden="false" customHeight="false" outlineLevel="0" collapsed="false">
      <c r="A24" s="14" t="n">
        <v>46293</v>
      </c>
      <c r="B24" s="15" t="s">
        <v>61</v>
      </c>
      <c r="C24" s="21" t="n">
        <v>0.5</v>
      </c>
      <c r="D24" s="22" t="s">
        <v>76</v>
      </c>
      <c r="E24" s="15" t="s">
        <v>62</v>
      </c>
      <c r="F24" s="16" t="n">
        <v>59</v>
      </c>
      <c r="G24" s="17" t="str">
        <f aca="false">IFERROR(INDEX(Plan!$F$38:$F$51,MATCH(B24&amp;"|"&amp;D24&amp;"|"&amp;E24,Plan!$G$38:$G$51,0)),INDEX(Plan!$F$38:$F$51,MATCH(B24&amp;"|"&amp;D24&amp;"|All",Plan!$G$38:$G$51,0)))</f>
        <v>kg</v>
      </c>
      <c r="H24" s="17" t="n">
        <f aca="false">IFERROR(INDEX(Plan!$D$38:$D$51,MATCH(B24&amp;"|"&amp;D24&amp;"|"&amp;E24,Plan!$G$38:$G$51,0)),INDEX(Plan!$D$38:$D$51,MATCH(B24&amp;"|"&amp;D24&amp;"|All",Plan!$G$38:$G$51,0)))</f>
        <v>0</v>
      </c>
      <c r="I24" s="17" t="n">
        <f aca="false">IFERROR(INDEX(Plan!$E$38:$E$51,MATCH(B24&amp;"|"&amp;D24&amp;"|"&amp;E24,Plan!$G$38:$G$51,0)),INDEX(Plan!$E$38:$E$51,MATCH(B24&amp;"|"&amp;D24&amp;"|All",Plan!$G$38:$G$51,0)))</f>
        <v>35</v>
      </c>
      <c r="J24" s="8" t="str">
        <f aca="false">IF(F24="","MISSING",IF(AND(F24&gt;=H24,F24&lt;=I24),"OK","OUT"))</f>
        <v>OUT</v>
      </c>
      <c r="K24" s="15" t="s">
        <v>106</v>
      </c>
    </row>
    <row r="25" customFormat="false" ht="15" hidden="false" customHeight="false" outlineLevel="0" collapsed="false">
      <c r="A25" s="14" t="n">
        <v>46293</v>
      </c>
      <c r="B25" s="15" t="s">
        <v>61</v>
      </c>
      <c r="C25" s="21" t="n">
        <v>0.5</v>
      </c>
      <c r="D25" s="22" t="s">
        <v>78</v>
      </c>
      <c r="E25" s="15" t="s">
        <v>62</v>
      </c>
      <c r="F25" s="23" t="n">
        <v>10.1</v>
      </c>
      <c r="G25" s="17" t="str">
        <f aca="false">IFERROR(INDEX(Plan!$F$38:$F$51,MATCH(B25&amp;"|"&amp;D25&amp;"|"&amp;E25,Plan!$G$38:$G$51,0)),INDEX(Plan!$F$38:$F$51,MATCH(B25&amp;"|"&amp;D25&amp;"|All",Plan!$G$38:$G$51,0)))</f>
        <v>%</v>
      </c>
      <c r="H25" s="17" t="n">
        <f aca="false">IFERROR(INDEX(Plan!$D$38:$D$51,MATCH(B25&amp;"|"&amp;D25&amp;"|"&amp;E25,Plan!$G$38:$G$51,0)),INDEX(Plan!$D$38:$D$51,MATCH(B25&amp;"|"&amp;D25&amp;"|All",Plan!$G$38:$G$51,0)))</f>
        <v>8</v>
      </c>
      <c r="I25" s="17" t="n">
        <f aca="false">IFERROR(INDEX(Plan!$E$38:$E$51,MATCH(B25&amp;"|"&amp;D25&amp;"|"&amp;E25,Plan!$G$38:$G$51,0)),INDEX(Plan!$E$38:$E$51,MATCH(B25&amp;"|"&amp;D25&amp;"|All",Plan!$G$38:$G$51,0)))</f>
        <v>11</v>
      </c>
      <c r="J25" s="8" t="str">
        <f aca="false">IF(F25="","MISSING",IF(AND(F25&gt;=H25,F25&lt;=I25),"OK","OUT"))</f>
        <v>OK</v>
      </c>
      <c r="K25" s="15" t="s">
        <v>106</v>
      </c>
    </row>
    <row r="26" customFormat="false" ht="15" hidden="false" customHeight="false" outlineLevel="0" collapsed="false">
      <c r="A26" s="14" t="n">
        <v>46293</v>
      </c>
      <c r="B26" s="15" t="s">
        <v>61</v>
      </c>
      <c r="C26" s="21" t="n">
        <v>0.520833333333333</v>
      </c>
      <c r="D26" s="15" t="s">
        <v>73</v>
      </c>
      <c r="E26" s="15" t="s">
        <v>62</v>
      </c>
      <c r="F26" s="16" t="n">
        <v>950</v>
      </c>
      <c r="G26" s="17" t="str">
        <f aca="false">IFERROR(INDEX(Plan!$F$38:$F$51,MATCH(B26&amp;"|"&amp;D26&amp;"|"&amp;E26,Plan!$G$38:$G$51,0)),INDEX(Plan!$F$38:$F$51,MATCH(B26&amp;"|"&amp;D26&amp;"|All",Plan!$G$38:$G$51,0)))</f>
        <v>kg/hr</v>
      </c>
      <c r="H26" s="17" t="n">
        <f aca="false">IFERROR(INDEX(Plan!$D$38:$D$51,MATCH(B26&amp;"|"&amp;D26&amp;"|"&amp;E26,Plan!$G$38:$G$51,0)),INDEX(Plan!$D$38:$D$51,MATCH(B26&amp;"|"&amp;D26&amp;"|All",Plan!$G$38:$G$51,0)))</f>
        <v>1050</v>
      </c>
      <c r="I26" s="17" t="n">
        <f aca="false">IFERROR(INDEX(Plan!$E$38:$E$51,MATCH(B26&amp;"|"&amp;D26&amp;"|"&amp;E26,Plan!$G$38:$G$51,0)),INDEX(Plan!$E$38:$E$51,MATCH(B26&amp;"|"&amp;D26&amp;"|All",Plan!$G$38:$G$51,0)))</f>
        <v>1300</v>
      </c>
      <c r="J26" s="8" t="str">
        <f aca="false">IF(F26="","MISSING",IF(AND(F26&gt;=H26,F26&lt;=I26),"OK","OUT"))</f>
        <v>OUT</v>
      </c>
      <c r="K26" s="15" t="s">
        <v>106</v>
      </c>
    </row>
    <row r="27" customFormat="false" ht="15" hidden="false" customHeight="false" outlineLevel="0" collapsed="false">
      <c r="A27" s="14" t="n">
        <v>46293</v>
      </c>
      <c r="B27" s="15" t="s">
        <v>61</v>
      </c>
      <c r="C27" s="21" t="n">
        <v>0.520833333333333</v>
      </c>
      <c r="D27" s="22" t="s">
        <v>75</v>
      </c>
      <c r="E27" s="15" t="s">
        <v>62</v>
      </c>
      <c r="F27" s="23" t="n">
        <v>7.3</v>
      </c>
      <c r="G27" s="17" t="str">
        <f aca="false">IFERROR(INDEX(Plan!$F$38:$F$51,MATCH(B27&amp;"|"&amp;D27&amp;"|"&amp;E27,Plan!$G$38:$G$51,0)),INDEX(Plan!$F$38:$F$51,MATCH(B27&amp;"|"&amp;D27&amp;"|All",Plan!$G$38:$G$51,0)))</f>
        <v>%</v>
      </c>
      <c r="H27" s="17" t="n">
        <f aca="false">IFERROR(INDEX(Plan!$D$38:$D$51,MATCH(B27&amp;"|"&amp;D27&amp;"|"&amp;E27,Plan!$G$38:$G$51,0)),INDEX(Plan!$D$38:$D$51,MATCH(B27&amp;"|"&amp;D27&amp;"|All",Plan!$G$38:$G$51,0)))</f>
        <v>0</v>
      </c>
      <c r="I27" s="17" t="n">
        <f aca="false">IFERROR(INDEX(Plan!$E$38:$E$51,MATCH(B27&amp;"|"&amp;D27&amp;"|"&amp;E27,Plan!$G$38:$G$51,0)),INDEX(Plan!$E$38:$E$51,MATCH(B27&amp;"|"&amp;D27&amp;"|All",Plan!$G$38:$G$51,0)))</f>
        <v>2</v>
      </c>
      <c r="J27" s="8" t="str">
        <f aca="false">IF(F27="","MISSING",IF(AND(F27&gt;=H27,F27&lt;=I27),"OK","OUT"))</f>
        <v>OUT</v>
      </c>
      <c r="K27" s="15" t="s">
        <v>106</v>
      </c>
    </row>
    <row r="28" customFormat="false" ht="15" hidden="false" customHeight="false" outlineLevel="0" collapsed="false">
      <c r="A28" s="14" t="n">
        <v>46293</v>
      </c>
      <c r="B28" s="15" t="s">
        <v>61</v>
      </c>
      <c r="C28" s="21" t="n">
        <v>0.520833333333333</v>
      </c>
      <c r="D28" s="22" t="s">
        <v>76</v>
      </c>
      <c r="E28" s="15" t="s">
        <v>62</v>
      </c>
      <c r="F28" s="16" t="n">
        <v>39</v>
      </c>
      <c r="G28" s="17" t="str">
        <f aca="false">IFERROR(INDEX(Plan!$F$38:$F$51,MATCH(B28&amp;"|"&amp;D28&amp;"|"&amp;E28,Plan!$G$38:$G$51,0)),INDEX(Plan!$F$38:$F$51,MATCH(B28&amp;"|"&amp;D28&amp;"|All",Plan!$G$38:$G$51,0)))</f>
        <v>kg</v>
      </c>
      <c r="H28" s="17" t="n">
        <f aca="false">IFERROR(INDEX(Plan!$D$38:$D$51,MATCH(B28&amp;"|"&amp;D28&amp;"|"&amp;E28,Plan!$G$38:$G$51,0)),INDEX(Plan!$D$38:$D$51,MATCH(B28&amp;"|"&amp;D28&amp;"|All",Plan!$G$38:$G$51,0)))</f>
        <v>0</v>
      </c>
      <c r="I28" s="17" t="n">
        <f aca="false">IFERROR(INDEX(Plan!$E$38:$E$51,MATCH(B28&amp;"|"&amp;D28&amp;"|"&amp;E28,Plan!$G$38:$G$51,0)),INDEX(Plan!$E$38:$E$51,MATCH(B28&amp;"|"&amp;D28&amp;"|All",Plan!$G$38:$G$51,0)))</f>
        <v>35</v>
      </c>
      <c r="J28" s="8" t="str">
        <f aca="false">IF(F28="","MISSING",IF(AND(F28&gt;=H28,F28&lt;=I28),"OK","OUT"))</f>
        <v>OUT</v>
      </c>
      <c r="K28" s="15" t="s">
        <v>106</v>
      </c>
    </row>
    <row r="29" customFormat="false" ht="15" hidden="false" customHeight="false" outlineLevel="0" collapsed="false">
      <c r="A29" s="14" t="n">
        <v>46293</v>
      </c>
      <c r="B29" s="15" t="s">
        <v>61</v>
      </c>
      <c r="C29" s="21" t="n">
        <v>0.520833333333333</v>
      </c>
      <c r="D29" s="22" t="s">
        <v>78</v>
      </c>
      <c r="E29" s="15" t="s">
        <v>62</v>
      </c>
      <c r="F29" s="23" t="n">
        <v>10.4</v>
      </c>
      <c r="G29" s="17" t="str">
        <f aca="false">IFERROR(INDEX(Plan!$F$38:$F$51,MATCH(B29&amp;"|"&amp;D29&amp;"|"&amp;E29,Plan!$G$38:$G$51,0)),INDEX(Plan!$F$38:$F$51,MATCH(B29&amp;"|"&amp;D29&amp;"|All",Plan!$G$38:$G$51,0)))</f>
        <v>%</v>
      </c>
      <c r="H29" s="17" t="n">
        <f aca="false">IFERROR(INDEX(Plan!$D$38:$D$51,MATCH(B29&amp;"|"&amp;D29&amp;"|"&amp;E29,Plan!$G$38:$G$51,0)),INDEX(Plan!$D$38:$D$51,MATCH(B29&amp;"|"&amp;D29&amp;"|All",Plan!$G$38:$G$51,0)))</f>
        <v>8</v>
      </c>
      <c r="I29" s="17" t="n">
        <f aca="false">IFERROR(INDEX(Plan!$E$38:$E$51,MATCH(B29&amp;"|"&amp;D29&amp;"|"&amp;E29,Plan!$G$38:$G$51,0)),INDEX(Plan!$E$38:$E$51,MATCH(B29&amp;"|"&amp;D29&amp;"|All",Plan!$G$38:$G$51,0)))</f>
        <v>11</v>
      </c>
      <c r="J29" s="8" t="str">
        <f aca="false">IF(F29="","MISSING",IF(AND(F29&gt;=H29,F29&lt;=I29),"OK","OUT"))</f>
        <v>OK</v>
      </c>
      <c r="K29" s="15" t="s">
        <v>106</v>
      </c>
    </row>
    <row r="30" customFormat="false" ht="15" hidden="false" customHeight="false" outlineLevel="0" collapsed="false">
      <c r="A30" s="14" t="n">
        <v>46293</v>
      </c>
      <c r="B30" s="15" t="s">
        <v>61</v>
      </c>
      <c r="C30" s="21" t="n">
        <v>0.541666666666667</v>
      </c>
      <c r="D30" s="15" t="s">
        <v>73</v>
      </c>
      <c r="E30" s="15" t="s">
        <v>62</v>
      </c>
      <c r="F30" s="16" t="n">
        <v>950</v>
      </c>
      <c r="G30" s="17" t="str">
        <f aca="false">IFERROR(INDEX(Plan!$F$38:$F$51,MATCH(B30&amp;"|"&amp;D30&amp;"|"&amp;E30,Plan!$G$38:$G$51,0)),INDEX(Plan!$F$38:$F$51,MATCH(B30&amp;"|"&amp;D30&amp;"|All",Plan!$G$38:$G$51,0)))</f>
        <v>kg/hr</v>
      </c>
      <c r="H30" s="17" t="n">
        <f aca="false">IFERROR(INDEX(Plan!$D$38:$D$51,MATCH(B30&amp;"|"&amp;D30&amp;"|"&amp;E30,Plan!$G$38:$G$51,0)),INDEX(Plan!$D$38:$D$51,MATCH(B30&amp;"|"&amp;D30&amp;"|All",Plan!$G$38:$G$51,0)))</f>
        <v>1050</v>
      </c>
      <c r="I30" s="17" t="n">
        <f aca="false">IFERROR(INDEX(Plan!$E$38:$E$51,MATCH(B30&amp;"|"&amp;D30&amp;"|"&amp;E30,Plan!$G$38:$G$51,0)),INDEX(Plan!$E$38:$E$51,MATCH(B30&amp;"|"&amp;D30&amp;"|All",Plan!$G$38:$G$51,0)))</f>
        <v>1300</v>
      </c>
      <c r="J30" s="8" t="str">
        <f aca="false">IF(F30="","MISSING",IF(AND(F30&gt;=H30,F30&lt;=I30),"OK","OUT"))</f>
        <v>OUT</v>
      </c>
      <c r="K30" s="15" t="s">
        <v>106</v>
      </c>
    </row>
    <row r="31" customFormat="false" ht="15" hidden="false" customHeight="false" outlineLevel="0" collapsed="false">
      <c r="A31" s="14" t="n">
        <v>46293</v>
      </c>
      <c r="B31" s="15" t="s">
        <v>61</v>
      </c>
      <c r="C31" s="21" t="n">
        <v>0.541666666666667</v>
      </c>
      <c r="D31" s="22" t="s">
        <v>75</v>
      </c>
      <c r="E31" s="15" t="s">
        <v>62</v>
      </c>
      <c r="F31" s="23" t="n">
        <v>6.7</v>
      </c>
      <c r="G31" s="17" t="str">
        <f aca="false">IFERROR(INDEX(Plan!$F$38:$F$51,MATCH(B31&amp;"|"&amp;D31&amp;"|"&amp;E31,Plan!$G$38:$G$51,0)),INDEX(Plan!$F$38:$F$51,MATCH(B31&amp;"|"&amp;D31&amp;"|All",Plan!$G$38:$G$51,0)))</f>
        <v>%</v>
      </c>
      <c r="H31" s="17" t="n">
        <f aca="false">IFERROR(INDEX(Plan!$D$38:$D$51,MATCH(B31&amp;"|"&amp;D31&amp;"|"&amp;E31,Plan!$G$38:$G$51,0)),INDEX(Plan!$D$38:$D$51,MATCH(B31&amp;"|"&amp;D31&amp;"|All",Plan!$G$38:$G$51,0)))</f>
        <v>0</v>
      </c>
      <c r="I31" s="17" t="n">
        <f aca="false">IFERROR(INDEX(Plan!$E$38:$E$51,MATCH(B31&amp;"|"&amp;D31&amp;"|"&amp;E31,Plan!$G$38:$G$51,0)),INDEX(Plan!$E$38:$E$51,MATCH(B31&amp;"|"&amp;D31&amp;"|All",Plan!$G$38:$G$51,0)))</f>
        <v>2</v>
      </c>
      <c r="J31" s="8" t="str">
        <f aca="false">IF(F31="","MISSING",IF(AND(F31&gt;=H31,F31&lt;=I31),"OK","OUT"))</f>
        <v>OUT</v>
      </c>
      <c r="K31" s="15" t="s">
        <v>106</v>
      </c>
    </row>
    <row r="32" customFormat="false" ht="15" hidden="false" customHeight="false" outlineLevel="0" collapsed="false">
      <c r="A32" s="14" t="n">
        <v>46293</v>
      </c>
      <c r="B32" s="15" t="s">
        <v>61</v>
      </c>
      <c r="C32" s="21" t="n">
        <v>0.541666666666667</v>
      </c>
      <c r="D32" s="22" t="s">
        <v>76</v>
      </c>
      <c r="E32" s="15" t="s">
        <v>62</v>
      </c>
      <c r="F32" s="16" t="n">
        <v>59</v>
      </c>
      <c r="G32" s="17" t="str">
        <f aca="false">IFERROR(INDEX(Plan!$F$38:$F$51,MATCH(B32&amp;"|"&amp;D32&amp;"|"&amp;E32,Plan!$G$38:$G$51,0)),INDEX(Plan!$F$38:$F$51,MATCH(B32&amp;"|"&amp;D32&amp;"|All",Plan!$G$38:$G$51,0)))</f>
        <v>kg</v>
      </c>
      <c r="H32" s="17" t="n">
        <f aca="false">IFERROR(INDEX(Plan!$D$38:$D$51,MATCH(B32&amp;"|"&amp;D32&amp;"|"&amp;E32,Plan!$G$38:$G$51,0)),INDEX(Plan!$D$38:$D$51,MATCH(B32&amp;"|"&amp;D32&amp;"|All",Plan!$G$38:$G$51,0)))</f>
        <v>0</v>
      </c>
      <c r="I32" s="17" t="n">
        <f aca="false">IFERROR(INDEX(Plan!$E$38:$E$51,MATCH(B32&amp;"|"&amp;D32&amp;"|"&amp;E32,Plan!$G$38:$G$51,0)),INDEX(Plan!$E$38:$E$51,MATCH(B32&amp;"|"&amp;D32&amp;"|All",Plan!$G$38:$G$51,0)))</f>
        <v>35</v>
      </c>
      <c r="J32" s="8" t="str">
        <f aca="false">IF(F32="","MISSING",IF(AND(F32&gt;=H32,F32&lt;=I32),"OK","OUT"))</f>
        <v>OUT</v>
      </c>
      <c r="K32" s="15" t="s">
        <v>106</v>
      </c>
    </row>
    <row r="33" customFormat="false" ht="15" hidden="false" customHeight="false" outlineLevel="0" collapsed="false">
      <c r="A33" s="14" t="n">
        <v>46293</v>
      </c>
      <c r="B33" s="15" t="s">
        <v>61</v>
      </c>
      <c r="C33" s="21" t="n">
        <v>0.541666666666667</v>
      </c>
      <c r="D33" s="22" t="s">
        <v>78</v>
      </c>
      <c r="E33" s="15" t="s">
        <v>62</v>
      </c>
      <c r="F33" s="23" t="n">
        <v>9.7</v>
      </c>
      <c r="G33" s="17" t="str">
        <f aca="false">IFERROR(INDEX(Plan!$F$38:$F$51,MATCH(B33&amp;"|"&amp;D33&amp;"|"&amp;E33,Plan!$G$38:$G$51,0)),INDEX(Plan!$F$38:$F$51,MATCH(B33&amp;"|"&amp;D33&amp;"|All",Plan!$G$38:$G$51,0)))</f>
        <v>%</v>
      </c>
      <c r="H33" s="17" t="n">
        <f aca="false">IFERROR(INDEX(Plan!$D$38:$D$51,MATCH(B33&amp;"|"&amp;D33&amp;"|"&amp;E33,Plan!$G$38:$G$51,0)),INDEX(Plan!$D$38:$D$51,MATCH(B33&amp;"|"&amp;D33&amp;"|All",Plan!$G$38:$G$51,0)))</f>
        <v>8</v>
      </c>
      <c r="I33" s="17" t="n">
        <f aca="false">IFERROR(INDEX(Plan!$E$38:$E$51,MATCH(B33&amp;"|"&amp;D33&amp;"|"&amp;E33,Plan!$G$38:$G$51,0)),INDEX(Plan!$E$38:$E$51,MATCH(B33&amp;"|"&amp;D33&amp;"|All",Plan!$G$38:$G$51,0)))</f>
        <v>11</v>
      </c>
      <c r="J33" s="8" t="str">
        <f aca="false">IF(F33="","MISSING",IF(AND(F33&gt;=H33,F33&lt;=I33),"OK","OUT"))</f>
        <v>OK</v>
      </c>
      <c r="K33" s="15" t="s">
        <v>106</v>
      </c>
    </row>
    <row r="34" customFormat="false" ht="15" hidden="false" customHeight="false" outlineLevel="0" collapsed="false">
      <c r="A34" s="14" t="n">
        <v>46293</v>
      </c>
      <c r="B34" s="15" t="s">
        <v>61</v>
      </c>
      <c r="C34" s="21" t="n">
        <v>0.583333333333333</v>
      </c>
      <c r="D34" s="15" t="s">
        <v>73</v>
      </c>
      <c r="E34" s="15" t="s">
        <v>62</v>
      </c>
      <c r="F34" s="16" t="n">
        <v>1090</v>
      </c>
      <c r="G34" s="17" t="str">
        <f aca="false">IFERROR(INDEX(Plan!$F$38:$F$51,MATCH(B34&amp;"|"&amp;D34&amp;"|"&amp;E34,Plan!$G$38:$G$51,0)),INDEX(Plan!$F$38:$F$51,MATCH(B34&amp;"|"&amp;D34&amp;"|All",Plan!$G$38:$G$51,0)))</f>
        <v>kg/hr</v>
      </c>
      <c r="H34" s="17" t="n">
        <f aca="false">IFERROR(INDEX(Plan!$D$38:$D$51,MATCH(B34&amp;"|"&amp;D34&amp;"|"&amp;E34,Plan!$G$38:$G$51,0)),INDEX(Plan!$D$38:$D$51,MATCH(B34&amp;"|"&amp;D34&amp;"|All",Plan!$G$38:$G$51,0)))</f>
        <v>1050</v>
      </c>
      <c r="I34" s="17" t="n">
        <f aca="false">IFERROR(INDEX(Plan!$E$38:$E$51,MATCH(B34&amp;"|"&amp;D34&amp;"|"&amp;E34,Plan!$G$38:$G$51,0)),INDEX(Plan!$E$38:$E$51,MATCH(B34&amp;"|"&amp;D34&amp;"|All",Plan!$G$38:$G$51,0)))</f>
        <v>1300</v>
      </c>
      <c r="J34" s="8" t="str">
        <f aca="false">IF(F34="","MISSING",IF(AND(F34&gt;=H34,F34&lt;=I34),"OK","OUT"))</f>
        <v>OK</v>
      </c>
      <c r="K34" s="15" t="s">
        <v>106</v>
      </c>
    </row>
    <row r="35" customFormat="false" ht="15" hidden="false" customHeight="false" outlineLevel="0" collapsed="false">
      <c r="A35" s="14" t="n">
        <v>46293</v>
      </c>
      <c r="B35" s="15" t="s">
        <v>61</v>
      </c>
      <c r="C35" s="21" t="n">
        <v>0.583333333333333</v>
      </c>
      <c r="D35" s="22" t="s">
        <v>75</v>
      </c>
      <c r="E35" s="15" t="s">
        <v>62</v>
      </c>
      <c r="F35" s="23" t="n">
        <v>1.3</v>
      </c>
      <c r="G35" s="17" t="str">
        <f aca="false">IFERROR(INDEX(Plan!$F$38:$F$51,MATCH(B35&amp;"|"&amp;D35&amp;"|"&amp;E35,Plan!$G$38:$G$51,0)),INDEX(Plan!$F$38:$F$51,MATCH(B35&amp;"|"&amp;D35&amp;"|All",Plan!$G$38:$G$51,0)))</f>
        <v>%</v>
      </c>
      <c r="H35" s="17" t="n">
        <f aca="false">IFERROR(INDEX(Plan!$D$38:$D$51,MATCH(B35&amp;"|"&amp;D35&amp;"|"&amp;E35,Plan!$G$38:$G$51,0)),INDEX(Plan!$D$38:$D$51,MATCH(B35&amp;"|"&amp;D35&amp;"|All",Plan!$G$38:$G$51,0)))</f>
        <v>0</v>
      </c>
      <c r="I35" s="17" t="n">
        <f aca="false">IFERROR(INDEX(Plan!$E$38:$E$51,MATCH(B35&amp;"|"&amp;D35&amp;"|"&amp;E35,Plan!$G$38:$G$51,0)),INDEX(Plan!$E$38:$E$51,MATCH(B35&amp;"|"&amp;D35&amp;"|All",Plan!$G$38:$G$51,0)))</f>
        <v>2</v>
      </c>
      <c r="J35" s="8" t="str">
        <f aca="false">IF(F35="","MISSING",IF(AND(F35&gt;=H35,F35&lt;=I35),"OK","OUT"))</f>
        <v>OK</v>
      </c>
      <c r="K35" s="15" t="s">
        <v>106</v>
      </c>
    </row>
    <row r="36" customFormat="false" ht="15" hidden="false" customHeight="false" outlineLevel="0" collapsed="false">
      <c r="A36" s="14" t="n">
        <v>46293</v>
      </c>
      <c r="B36" s="15" t="s">
        <v>61</v>
      </c>
      <c r="C36" s="21" t="n">
        <v>0.583333333333333</v>
      </c>
      <c r="D36" s="22" t="s">
        <v>76</v>
      </c>
      <c r="E36" s="15" t="s">
        <v>62</v>
      </c>
      <c r="F36" s="16" t="n">
        <v>27</v>
      </c>
      <c r="G36" s="17" t="str">
        <f aca="false">IFERROR(INDEX(Plan!$F$38:$F$51,MATCH(B36&amp;"|"&amp;D36&amp;"|"&amp;E36,Plan!$G$38:$G$51,0)),INDEX(Plan!$F$38:$F$51,MATCH(B36&amp;"|"&amp;D36&amp;"|All",Plan!$G$38:$G$51,0)))</f>
        <v>kg</v>
      </c>
      <c r="H36" s="17" t="n">
        <f aca="false">IFERROR(INDEX(Plan!$D$38:$D$51,MATCH(B36&amp;"|"&amp;D36&amp;"|"&amp;E36,Plan!$G$38:$G$51,0)),INDEX(Plan!$D$38:$D$51,MATCH(B36&amp;"|"&amp;D36&amp;"|All",Plan!$G$38:$G$51,0)))</f>
        <v>0</v>
      </c>
      <c r="I36" s="17" t="n">
        <f aca="false">IFERROR(INDEX(Plan!$E$38:$E$51,MATCH(B36&amp;"|"&amp;D36&amp;"|"&amp;E36,Plan!$G$38:$G$51,0)),INDEX(Plan!$E$38:$E$51,MATCH(B36&amp;"|"&amp;D36&amp;"|All",Plan!$G$38:$G$51,0)))</f>
        <v>35</v>
      </c>
      <c r="J36" s="8" t="str">
        <f aca="false">IF(F36="","MISSING",IF(AND(F36&gt;=H36,F36&lt;=I36),"OK","OUT"))</f>
        <v>OK</v>
      </c>
      <c r="K36" s="15" t="s">
        <v>106</v>
      </c>
    </row>
    <row r="37" customFormat="false" ht="15" hidden="false" customHeight="false" outlineLevel="0" collapsed="false">
      <c r="A37" s="14" t="n">
        <v>46293</v>
      </c>
      <c r="B37" s="15" t="s">
        <v>61</v>
      </c>
      <c r="C37" s="21" t="n">
        <v>0.583333333333333</v>
      </c>
      <c r="D37" s="22" t="s">
        <v>78</v>
      </c>
      <c r="E37" s="15" t="s">
        <v>62</v>
      </c>
      <c r="F37" s="23" t="n">
        <v>10.3</v>
      </c>
      <c r="G37" s="17" t="str">
        <f aca="false">IFERROR(INDEX(Plan!$F$38:$F$51,MATCH(B37&amp;"|"&amp;D37&amp;"|"&amp;E37,Plan!$G$38:$G$51,0)),INDEX(Plan!$F$38:$F$51,MATCH(B37&amp;"|"&amp;D37&amp;"|All",Plan!$G$38:$G$51,0)))</f>
        <v>%</v>
      </c>
      <c r="H37" s="17" t="n">
        <f aca="false">IFERROR(INDEX(Plan!$D$38:$D$51,MATCH(B37&amp;"|"&amp;D37&amp;"|"&amp;E37,Plan!$G$38:$G$51,0)),INDEX(Plan!$D$38:$D$51,MATCH(B37&amp;"|"&amp;D37&amp;"|All",Plan!$G$38:$G$51,0)))</f>
        <v>8</v>
      </c>
      <c r="I37" s="17" t="n">
        <f aca="false">IFERROR(INDEX(Plan!$E$38:$E$51,MATCH(B37&amp;"|"&amp;D37&amp;"|"&amp;E37,Plan!$G$38:$G$51,0)),INDEX(Plan!$E$38:$E$51,MATCH(B37&amp;"|"&amp;D37&amp;"|All",Plan!$G$38:$G$51,0)))</f>
        <v>11</v>
      </c>
      <c r="J37" s="8" t="str">
        <f aca="false">IF(F37="","MISSING",IF(AND(F37&gt;=H37,F37&lt;=I37),"OK","OUT"))</f>
        <v>OK</v>
      </c>
      <c r="K37" s="15" t="s">
        <v>106</v>
      </c>
    </row>
    <row r="38" customFormat="false" ht="15" hidden="false" customHeight="false" outlineLevel="0" collapsed="false">
      <c r="A38" s="14" t="n">
        <v>46293</v>
      </c>
      <c r="B38" s="15" t="s">
        <v>61</v>
      </c>
      <c r="C38" s="21" t="n">
        <v>0.604166666666667</v>
      </c>
      <c r="D38" s="15" t="s">
        <v>73</v>
      </c>
      <c r="E38" s="15" t="s">
        <v>62</v>
      </c>
      <c r="F38" s="16" t="n">
        <v>1090</v>
      </c>
      <c r="G38" s="17" t="str">
        <f aca="false">IFERROR(INDEX(Plan!$F$38:$F$51,MATCH(B38&amp;"|"&amp;D38&amp;"|"&amp;E38,Plan!$G$38:$G$51,0)),INDEX(Plan!$F$38:$F$51,MATCH(B38&amp;"|"&amp;D38&amp;"|All",Plan!$G$38:$G$51,0)))</f>
        <v>kg/hr</v>
      </c>
      <c r="H38" s="17" t="n">
        <f aca="false">IFERROR(INDEX(Plan!$D$38:$D$51,MATCH(B38&amp;"|"&amp;D38&amp;"|"&amp;E38,Plan!$G$38:$G$51,0)),INDEX(Plan!$D$38:$D$51,MATCH(B38&amp;"|"&amp;D38&amp;"|All",Plan!$G$38:$G$51,0)))</f>
        <v>1050</v>
      </c>
      <c r="I38" s="17" t="n">
        <f aca="false">IFERROR(INDEX(Plan!$E$38:$E$51,MATCH(B38&amp;"|"&amp;D38&amp;"|"&amp;E38,Plan!$G$38:$G$51,0)),INDEX(Plan!$E$38:$E$51,MATCH(B38&amp;"|"&amp;D38&amp;"|All",Plan!$G$38:$G$51,0)))</f>
        <v>1300</v>
      </c>
      <c r="J38" s="8" t="str">
        <f aca="false">IF(F38="","MISSING",IF(AND(F38&gt;=H38,F38&lt;=I38),"OK","OUT"))</f>
        <v>OK</v>
      </c>
      <c r="K38" s="15" t="s">
        <v>106</v>
      </c>
    </row>
    <row r="39" customFormat="false" ht="15" hidden="false" customHeight="false" outlineLevel="0" collapsed="false">
      <c r="A39" s="14" t="n">
        <v>46293</v>
      </c>
      <c r="B39" s="15" t="s">
        <v>61</v>
      </c>
      <c r="C39" s="21" t="n">
        <v>0.604166666666667</v>
      </c>
      <c r="D39" s="22" t="s">
        <v>75</v>
      </c>
      <c r="E39" s="15" t="s">
        <v>62</v>
      </c>
      <c r="F39" s="23" t="n">
        <v>1.4</v>
      </c>
      <c r="G39" s="17" t="str">
        <f aca="false">IFERROR(INDEX(Plan!$F$38:$F$51,MATCH(B39&amp;"|"&amp;D39&amp;"|"&amp;E39,Plan!$G$38:$G$51,0)),INDEX(Plan!$F$38:$F$51,MATCH(B39&amp;"|"&amp;D39&amp;"|All",Plan!$G$38:$G$51,0)))</f>
        <v>%</v>
      </c>
      <c r="H39" s="17" t="n">
        <f aca="false">IFERROR(INDEX(Plan!$D$38:$D$51,MATCH(B39&amp;"|"&amp;D39&amp;"|"&amp;E39,Plan!$G$38:$G$51,0)),INDEX(Plan!$D$38:$D$51,MATCH(B39&amp;"|"&amp;D39&amp;"|All",Plan!$G$38:$G$51,0)))</f>
        <v>0</v>
      </c>
      <c r="I39" s="17" t="n">
        <f aca="false">IFERROR(INDEX(Plan!$E$38:$E$51,MATCH(B39&amp;"|"&amp;D39&amp;"|"&amp;E39,Plan!$G$38:$G$51,0)),INDEX(Plan!$E$38:$E$51,MATCH(B39&amp;"|"&amp;D39&amp;"|All",Plan!$G$38:$G$51,0)))</f>
        <v>2</v>
      </c>
      <c r="J39" s="8" t="str">
        <f aca="false">IF(F39="","MISSING",IF(AND(F39&gt;=H39,F39&lt;=I39),"OK","OUT"))</f>
        <v>OK</v>
      </c>
      <c r="K39" s="15" t="s">
        <v>106</v>
      </c>
    </row>
    <row r="40" customFormat="false" ht="15" hidden="false" customHeight="false" outlineLevel="0" collapsed="false">
      <c r="A40" s="14" t="n">
        <v>46293</v>
      </c>
      <c r="B40" s="15" t="s">
        <v>61</v>
      </c>
      <c r="C40" s="21" t="n">
        <v>0.604166666666667</v>
      </c>
      <c r="D40" s="22" t="s">
        <v>76</v>
      </c>
      <c r="E40" s="15" t="s">
        <v>62</v>
      </c>
      <c r="F40" s="16" t="n">
        <v>28</v>
      </c>
      <c r="G40" s="17" t="str">
        <f aca="false">IFERROR(INDEX(Plan!$F$38:$F$51,MATCH(B40&amp;"|"&amp;D40&amp;"|"&amp;E40,Plan!$G$38:$G$51,0)),INDEX(Plan!$F$38:$F$51,MATCH(B40&amp;"|"&amp;D40&amp;"|All",Plan!$G$38:$G$51,0)))</f>
        <v>kg</v>
      </c>
      <c r="H40" s="17" t="n">
        <f aca="false">IFERROR(INDEX(Plan!$D$38:$D$51,MATCH(B40&amp;"|"&amp;D40&amp;"|"&amp;E40,Plan!$G$38:$G$51,0)),INDEX(Plan!$D$38:$D$51,MATCH(B40&amp;"|"&amp;D40&amp;"|All",Plan!$G$38:$G$51,0)))</f>
        <v>0</v>
      </c>
      <c r="I40" s="17" t="n">
        <f aca="false">IFERROR(INDEX(Plan!$E$38:$E$51,MATCH(B40&amp;"|"&amp;D40&amp;"|"&amp;E40,Plan!$G$38:$G$51,0)),INDEX(Plan!$E$38:$E$51,MATCH(B40&amp;"|"&amp;D40&amp;"|All",Plan!$G$38:$G$51,0)))</f>
        <v>35</v>
      </c>
      <c r="J40" s="8" t="str">
        <f aca="false">IF(F40="","MISSING",IF(AND(F40&gt;=H40,F40&lt;=I40),"OK","OUT"))</f>
        <v>OK</v>
      </c>
      <c r="K40" s="15" t="s">
        <v>106</v>
      </c>
    </row>
    <row r="41" customFormat="false" ht="15" hidden="false" customHeight="false" outlineLevel="0" collapsed="false">
      <c r="A41" s="14" t="n">
        <v>46293</v>
      </c>
      <c r="B41" s="15" t="s">
        <v>61</v>
      </c>
      <c r="C41" s="21" t="n">
        <v>0.604166666666667</v>
      </c>
      <c r="D41" s="22" t="s">
        <v>78</v>
      </c>
      <c r="E41" s="15" t="s">
        <v>62</v>
      </c>
      <c r="F41" s="16"/>
      <c r="G41" s="17" t="str">
        <f aca="false">IFERROR(INDEX(Plan!$F$38:$F$51,MATCH(B41&amp;"|"&amp;D41&amp;"|"&amp;E41,Plan!$G$38:$G$51,0)),INDEX(Plan!$F$38:$F$51,MATCH(B41&amp;"|"&amp;D41&amp;"|All",Plan!$G$38:$G$51,0)))</f>
        <v>%</v>
      </c>
      <c r="H41" s="17" t="n">
        <f aca="false">IFERROR(INDEX(Plan!$D$38:$D$51,MATCH(B41&amp;"|"&amp;D41&amp;"|"&amp;E41,Plan!$G$38:$G$51,0)),INDEX(Plan!$D$38:$D$51,MATCH(B41&amp;"|"&amp;D41&amp;"|All",Plan!$G$38:$G$51,0)))</f>
        <v>8</v>
      </c>
      <c r="I41" s="17" t="n">
        <f aca="false">IFERROR(INDEX(Plan!$E$38:$E$51,MATCH(B41&amp;"|"&amp;D41&amp;"|"&amp;E41,Plan!$G$38:$G$51,0)),INDEX(Plan!$E$38:$E$51,MATCH(B41&amp;"|"&amp;D41&amp;"|All",Plan!$G$38:$G$51,0)))</f>
        <v>11</v>
      </c>
      <c r="J41" s="8" t="str">
        <f aca="false">IF(F41="","MISSING",IF(AND(F41&gt;=H41,F41&lt;=I41),"OK","OUT"))</f>
        <v>MISSING</v>
      </c>
      <c r="K41" s="15" t="s">
        <v>106</v>
      </c>
    </row>
    <row r="42" customFormat="false" ht="15" hidden="false" customHeight="false" outlineLevel="0" collapsed="false">
      <c r="A42" s="14" t="n">
        <v>46293</v>
      </c>
      <c r="B42" s="15" t="s">
        <v>61</v>
      </c>
      <c r="C42" s="21" t="n">
        <v>0.625</v>
      </c>
      <c r="D42" s="15" t="s">
        <v>73</v>
      </c>
      <c r="E42" s="15" t="s">
        <v>62</v>
      </c>
      <c r="F42" s="16" t="n">
        <v>1090</v>
      </c>
      <c r="G42" s="17" t="str">
        <f aca="false">IFERROR(INDEX(Plan!$F$38:$F$51,MATCH(B42&amp;"|"&amp;D42&amp;"|"&amp;E42,Plan!$G$38:$G$51,0)),INDEX(Plan!$F$38:$F$51,MATCH(B42&amp;"|"&amp;D42&amp;"|All",Plan!$G$38:$G$51,0)))</f>
        <v>kg/hr</v>
      </c>
      <c r="H42" s="17" t="n">
        <f aca="false">IFERROR(INDEX(Plan!$D$38:$D$51,MATCH(B42&amp;"|"&amp;D42&amp;"|"&amp;E42,Plan!$G$38:$G$51,0)),INDEX(Plan!$D$38:$D$51,MATCH(B42&amp;"|"&amp;D42&amp;"|All",Plan!$G$38:$G$51,0)))</f>
        <v>1050</v>
      </c>
      <c r="I42" s="17" t="n">
        <f aca="false">IFERROR(INDEX(Plan!$E$38:$E$51,MATCH(B42&amp;"|"&amp;D42&amp;"|"&amp;E42,Plan!$G$38:$G$51,0)),INDEX(Plan!$E$38:$E$51,MATCH(B42&amp;"|"&amp;D42&amp;"|All",Plan!$G$38:$G$51,0)))</f>
        <v>1300</v>
      </c>
      <c r="J42" s="8" t="str">
        <f aca="false">IF(F42="","MISSING",IF(AND(F42&gt;=H42,F42&lt;=I42),"OK","OUT"))</f>
        <v>OK</v>
      </c>
      <c r="K42" s="15" t="s">
        <v>106</v>
      </c>
    </row>
    <row r="43" customFormat="false" ht="15" hidden="false" customHeight="false" outlineLevel="0" collapsed="false">
      <c r="A43" s="14" t="n">
        <v>46293</v>
      </c>
      <c r="B43" s="15" t="s">
        <v>61</v>
      </c>
      <c r="C43" s="21" t="n">
        <v>0.625</v>
      </c>
      <c r="D43" s="22" t="s">
        <v>75</v>
      </c>
      <c r="E43" s="15" t="s">
        <v>62</v>
      </c>
      <c r="F43" s="23" t="n">
        <v>1.2</v>
      </c>
      <c r="G43" s="17" t="str">
        <f aca="false">IFERROR(INDEX(Plan!$F$38:$F$51,MATCH(B43&amp;"|"&amp;D43&amp;"|"&amp;E43,Plan!$G$38:$G$51,0)),INDEX(Plan!$F$38:$F$51,MATCH(B43&amp;"|"&amp;D43&amp;"|All",Plan!$G$38:$G$51,0)))</f>
        <v>%</v>
      </c>
      <c r="H43" s="17" t="n">
        <f aca="false">IFERROR(INDEX(Plan!$D$38:$D$51,MATCH(B43&amp;"|"&amp;D43&amp;"|"&amp;E43,Plan!$G$38:$G$51,0)),INDEX(Plan!$D$38:$D$51,MATCH(B43&amp;"|"&amp;D43&amp;"|All",Plan!$G$38:$G$51,0)))</f>
        <v>0</v>
      </c>
      <c r="I43" s="17" t="n">
        <f aca="false">IFERROR(INDEX(Plan!$E$38:$E$51,MATCH(B43&amp;"|"&amp;D43&amp;"|"&amp;E43,Plan!$G$38:$G$51,0)),INDEX(Plan!$E$38:$E$51,MATCH(B43&amp;"|"&amp;D43&amp;"|All",Plan!$G$38:$G$51,0)))</f>
        <v>2</v>
      </c>
      <c r="J43" s="8" t="str">
        <f aca="false">IF(F43="","MISSING",IF(AND(F43&gt;=H43,F43&lt;=I43),"OK","OUT"))</f>
        <v>OK</v>
      </c>
      <c r="K43" s="15" t="s">
        <v>106</v>
      </c>
    </row>
    <row r="44" customFormat="false" ht="15" hidden="false" customHeight="false" outlineLevel="0" collapsed="false">
      <c r="A44" s="14" t="n">
        <v>46293</v>
      </c>
      <c r="B44" s="15" t="s">
        <v>61</v>
      </c>
      <c r="C44" s="21" t="n">
        <v>0.625</v>
      </c>
      <c r="D44" s="22" t="s">
        <v>76</v>
      </c>
      <c r="E44" s="15" t="s">
        <v>62</v>
      </c>
      <c r="F44" s="16" t="n">
        <v>28</v>
      </c>
      <c r="G44" s="17" t="str">
        <f aca="false">IFERROR(INDEX(Plan!$F$38:$F$51,MATCH(B44&amp;"|"&amp;D44&amp;"|"&amp;E44,Plan!$G$38:$G$51,0)),INDEX(Plan!$F$38:$F$51,MATCH(B44&amp;"|"&amp;D44&amp;"|All",Plan!$G$38:$G$51,0)))</f>
        <v>kg</v>
      </c>
      <c r="H44" s="17" t="n">
        <f aca="false">IFERROR(INDEX(Plan!$D$38:$D$51,MATCH(B44&amp;"|"&amp;D44&amp;"|"&amp;E44,Plan!$G$38:$G$51,0)),INDEX(Plan!$D$38:$D$51,MATCH(B44&amp;"|"&amp;D44&amp;"|All",Plan!$G$38:$G$51,0)))</f>
        <v>0</v>
      </c>
      <c r="I44" s="17" t="n">
        <f aca="false">IFERROR(INDEX(Plan!$E$38:$E$51,MATCH(B44&amp;"|"&amp;D44&amp;"|"&amp;E44,Plan!$G$38:$G$51,0)),INDEX(Plan!$E$38:$E$51,MATCH(B44&amp;"|"&amp;D44&amp;"|All",Plan!$G$38:$G$51,0)))</f>
        <v>35</v>
      </c>
      <c r="J44" s="8" t="str">
        <f aca="false">IF(F44="","MISSING",IF(AND(F44&gt;=H44,F44&lt;=I44),"OK","OUT"))</f>
        <v>OK</v>
      </c>
      <c r="K44" s="15" t="s">
        <v>106</v>
      </c>
    </row>
    <row r="45" customFormat="false" ht="15" hidden="false" customHeight="false" outlineLevel="0" collapsed="false">
      <c r="A45" s="14" t="n">
        <v>46293</v>
      </c>
      <c r="B45" s="15" t="s">
        <v>61</v>
      </c>
      <c r="C45" s="21" t="n">
        <v>0.625</v>
      </c>
      <c r="D45" s="22" t="s">
        <v>78</v>
      </c>
      <c r="E45" s="15" t="s">
        <v>62</v>
      </c>
      <c r="F45" s="23" t="n">
        <v>10.4</v>
      </c>
      <c r="G45" s="17" t="str">
        <f aca="false">IFERROR(INDEX(Plan!$F$38:$F$51,MATCH(B45&amp;"|"&amp;D45&amp;"|"&amp;E45,Plan!$G$38:$G$51,0)),INDEX(Plan!$F$38:$F$51,MATCH(B45&amp;"|"&amp;D45&amp;"|All",Plan!$G$38:$G$51,0)))</f>
        <v>%</v>
      </c>
      <c r="H45" s="17" t="n">
        <f aca="false">IFERROR(INDEX(Plan!$D$38:$D$51,MATCH(B45&amp;"|"&amp;D45&amp;"|"&amp;E45,Plan!$G$38:$G$51,0)),INDEX(Plan!$D$38:$D$51,MATCH(B45&amp;"|"&amp;D45&amp;"|All",Plan!$G$38:$G$51,0)))</f>
        <v>8</v>
      </c>
      <c r="I45" s="17" t="n">
        <f aca="false">IFERROR(INDEX(Plan!$E$38:$E$51,MATCH(B45&amp;"|"&amp;D45&amp;"|"&amp;E45,Plan!$G$38:$G$51,0)),INDEX(Plan!$E$38:$E$51,MATCH(B45&amp;"|"&amp;D45&amp;"|All",Plan!$G$38:$G$51,0)))</f>
        <v>11</v>
      </c>
      <c r="J45" s="8" t="str">
        <f aca="false">IF(F45="","MISSING",IF(AND(F45&gt;=H45,F45&lt;=I45),"OK","OUT"))</f>
        <v>OK</v>
      </c>
      <c r="K45" s="15" t="s">
        <v>106</v>
      </c>
    </row>
    <row r="46" customFormat="false" ht="15" hidden="false" customHeight="false" outlineLevel="0" collapsed="false">
      <c r="A46" s="14" t="n">
        <v>46293</v>
      </c>
      <c r="B46" s="15" t="s">
        <v>61</v>
      </c>
      <c r="C46" s="21" t="n">
        <v>0.645833333333333</v>
      </c>
      <c r="D46" s="15" t="s">
        <v>73</v>
      </c>
      <c r="E46" s="15" t="s">
        <v>62</v>
      </c>
      <c r="F46" s="16" t="n">
        <v>1090</v>
      </c>
      <c r="G46" s="17" t="str">
        <f aca="false">IFERROR(INDEX(Plan!$F$38:$F$51,MATCH(B46&amp;"|"&amp;D46&amp;"|"&amp;E46,Plan!$G$38:$G$51,0)),INDEX(Plan!$F$38:$F$51,MATCH(B46&amp;"|"&amp;D46&amp;"|All",Plan!$G$38:$G$51,0)))</f>
        <v>kg/hr</v>
      </c>
      <c r="H46" s="17" t="n">
        <f aca="false">IFERROR(INDEX(Plan!$D$38:$D$51,MATCH(B46&amp;"|"&amp;D46&amp;"|"&amp;E46,Plan!$G$38:$G$51,0)),INDEX(Plan!$D$38:$D$51,MATCH(B46&amp;"|"&amp;D46&amp;"|All",Plan!$G$38:$G$51,0)))</f>
        <v>1050</v>
      </c>
      <c r="I46" s="17" t="n">
        <f aca="false">IFERROR(INDEX(Plan!$E$38:$E$51,MATCH(B46&amp;"|"&amp;D46&amp;"|"&amp;E46,Plan!$G$38:$G$51,0)),INDEX(Plan!$E$38:$E$51,MATCH(B46&amp;"|"&amp;D46&amp;"|All",Plan!$G$38:$G$51,0)))</f>
        <v>1300</v>
      </c>
      <c r="J46" s="8" t="str">
        <f aca="false">IF(F46="","MISSING",IF(AND(F46&gt;=H46,F46&lt;=I46),"OK","OUT"))</f>
        <v>OK</v>
      </c>
      <c r="K46" s="15" t="s">
        <v>106</v>
      </c>
    </row>
    <row r="47" customFormat="false" ht="15" hidden="false" customHeight="false" outlineLevel="0" collapsed="false">
      <c r="A47" s="14" t="n">
        <v>46293</v>
      </c>
      <c r="B47" s="15" t="s">
        <v>61</v>
      </c>
      <c r="C47" s="21" t="n">
        <v>0.645833333333333</v>
      </c>
      <c r="D47" s="22" t="s">
        <v>75</v>
      </c>
      <c r="E47" s="15" t="s">
        <v>62</v>
      </c>
      <c r="F47" s="23" t="n">
        <v>1.2</v>
      </c>
      <c r="G47" s="17" t="str">
        <f aca="false">IFERROR(INDEX(Plan!$F$38:$F$51,MATCH(B47&amp;"|"&amp;D47&amp;"|"&amp;E47,Plan!$G$38:$G$51,0)),INDEX(Plan!$F$38:$F$51,MATCH(B47&amp;"|"&amp;D47&amp;"|All",Plan!$G$38:$G$51,0)))</f>
        <v>%</v>
      </c>
      <c r="H47" s="17" t="n">
        <f aca="false">IFERROR(INDEX(Plan!$D$38:$D$51,MATCH(B47&amp;"|"&amp;D47&amp;"|"&amp;E47,Plan!$G$38:$G$51,0)),INDEX(Plan!$D$38:$D$51,MATCH(B47&amp;"|"&amp;D47&amp;"|All",Plan!$G$38:$G$51,0)))</f>
        <v>0</v>
      </c>
      <c r="I47" s="17" t="n">
        <f aca="false">IFERROR(INDEX(Plan!$E$38:$E$51,MATCH(B47&amp;"|"&amp;D47&amp;"|"&amp;E47,Plan!$G$38:$G$51,0)),INDEX(Plan!$E$38:$E$51,MATCH(B47&amp;"|"&amp;D47&amp;"|All",Plan!$G$38:$G$51,0)))</f>
        <v>2</v>
      </c>
      <c r="J47" s="8" t="str">
        <f aca="false">IF(F47="","MISSING",IF(AND(F47&gt;=H47,F47&lt;=I47),"OK","OUT"))</f>
        <v>OK</v>
      </c>
      <c r="K47" s="15" t="s">
        <v>106</v>
      </c>
    </row>
    <row r="48" customFormat="false" ht="15" hidden="false" customHeight="false" outlineLevel="0" collapsed="false">
      <c r="A48" s="14" t="n">
        <v>46293</v>
      </c>
      <c r="B48" s="15" t="s">
        <v>61</v>
      </c>
      <c r="C48" s="21" t="n">
        <v>0.645833333333333</v>
      </c>
      <c r="D48" s="22" t="s">
        <v>76</v>
      </c>
      <c r="E48" s="15" t="s">
        <v>62</v>
      </c>
      <c r="F48" s="16" t="n">
        <v>27</v>
      </c>
      <c r="G48" s="17" t="str">
        <f aca="false">IFERROR(INDEX(Plan!$F$38:$F$51,MATCH(B48&amp;"|"&amp;D48&amp;"|"&amp;E48,Plan!$G$38:$G$51,0)),INDEX(Plan!$F$38:$F$51,MATCH(B48&amp;"|"&amp;D48&amp;"|All",Plan!$G$38:$G$51,0)))</f>
        <v>kg</v>
      </c>
      <c r="H48" s="17" t="n">
        <f aca="false">IFERROR(INDEX(Plan!$D$38:$D$51,MATCH(B48&amp;"|"&amp;D48&amp;"|"&amp;E48,Plan!$G$38:$G$51,0)),INDEX(Plan!$D$38:$D$51,MATCH(B48&amp;"|"&amp;D48&amp;"|All",Plan!$G$38:$G$51,0)))</f>
        <v>0</v>
      </c>
      <c r="I48" s="17" t="n">
        <f aca="false">IFERROR(INDEX(Plan!$E$38:$E$51,MATCH(B48&amp;"|"&amp;D48&amp;"|"&amp;E48,Plan!$G$38:$G$51,0)),INDEX(Plan!$E$38:$E$51,MATCH(B48&amp;"|"&amp;D48&amp;"|All",Plan!$G$38:$G$51,0)))</f>
        <v>35</v>
      </c>
      <c r="J48" s="8" t="str">
        <f aca="false">IF(F48="","MISSING",IF(AND(F48&gt;=H48,F48&lt;=I48),"OK","OUT"))</f>
        <v>OK</v>
      </c>
      <c r="K48" s="15" t="s">
        <v>106</v>
      </c>
    </row>
    <row r="49" customFormat="false" ht="15" hidden="false" customHeight="false" outlineLevel="0" collapsed="false">
      <c r="A49" s="14" t="n">
        <v>46293</v>
      </c>
      <c r="B49" s="15" t="s">
        <v>61</v>
      </c>
      <c r="C49" s="21" t="n">
        <v>0.645833333333333</v>
      </c>
      <c r="D49" s="22" t="s">
        <v>78</v>
      </c>
      <c r="E49" s="15" t="s">
        <v>62</v>
      </c>
      <c r="F49" s="23" t="n">
        <v>10.5</v>
      </c>
      <c r="G49" s="17" t="str">
        <f aca="false">IFERROR(INDEX(Plan!$F$38:$F$51,MATCH(B49&amp;"|"&amp;D49&amp;"|"&amp;E49,Plan!$G$38:$G$51,0)),INDEX(Plan!$F$38:$F$51,MATCH(B49&amp;"|"&amp;D49&amp;"|All",Plan!$G$38:$G$51,0)))</f>
        <v>%</v>
      </c>
      <c r="H49" s="17" t="n">
        <f aca="false">IFERROR(INDEX(Plan!$D$38:$D$51,MATCH(B49&amp;"|"&amp;D49&amp;"|"&amp;E49,Plan!$G$38:$G$51,0)),INDEX(Plan!$D$38:$D$51,MATCH(B49&amp;"|"&amp;D49&amp;"|All",Plan!$G$38:$G$51,0)))</f>
        <v>8</v>
      </c>
      <c r="I49" s="17" t="n">
        <f aca="false">IFERROR(INDEX(Plan!$E$38:$E$51,MATCH(B49&amp;"|"&amp;D49&amp;"|"&amp;E49,Plan!$G$38:$G$51,0)),INDEX(Plan!$E$38:$E$51,MATCH(B49&amp;"|"&amp;D49&amp;"|All",Plan!$G$38:$G$51,0)))</f>
        <v>11</v>
      </c>
      <c r="J49" s="8" t="str">
        <f aca="false">IF(F49="","MISSING",IF(AND(F49&gt;=H49,F49&lt;=I49),"OK","OUT"))</f>
        <v>OK</v>
      </c>
      <c r="K49" s="15" t="s">
        <v>106</v>
      </c>
    </row>
    <row r="50" customFormat="false" ht="15" hidden="false" customHeight="false" outlineLevel="0" collapsed="false">
      <c r="A50" s="14" t="n">
        <v>46293</v>
      </c>
      <c r="B50" s="15" t="s">
        <v>61</v>
      </c>
      <c r="C50" s="21" t="n">
        <v>0.666666666666667</v>
      </c>
      <c r="D50" s="15" t="s">
        <v>73</v>
      </c>
      <c r="E50" s="15" t="s">
        <v>62</v>
      </c>
      <c r="F50" s="16" t="n">
        <v>1090</v>
      </c>
      <c r="G50" s="17" t="str">
        <f aca="false">IFERROR(INDEX(Plan!$F$38:$F$51,MATCH(B50&amp;"|"&amp;D50&amp;"|"&amp;E50,Plan!$G$38:$G$51,0)),INDEX(Plan!$F$38:$F$51,MATCH(B50&amp;"|"&amp;D50&amp;"|All",Plan!$G$38:$G$51,0)))</f>
        <v>kg/hr</v>
      </c>
      <c r="H50" s="17" t="n">
        <f aca="false">IFERROR(INDEX(Plan!$D$38:$D$51,MATCH(B50&amp;"|"&amp;D50&amp;"|"&amp;E50,Plan!$G$38:$G$51,0)),INDEX(Plan!$D$38:$D$51,MATCH(B50&amp;"|"&amp;D50&amp;"|All",Plan!$G$38:$G$51,0)))</f>
        <v>1050</v>
      </c>
      <c r="I50" s="17" t="n">
        <f aca="false">IFERROR(INDEX(Plan!$E$38:$E$51,MATCH(B50&amp;"|"&amp;D50&amp;"|"&amp;E50,Plan!$G$38:$G$51,0)),INDEX(Plan!$E$38:$E$51,MATCH(B50&amp;"|"&amp;D50&amp;"|All",Plan!$G$38:$G$51,0)))</f>
        <v>1300</v>
      </c>
      <c r="J50" s="8" t="str">
        <f aca="false">IF(F50="","MISSING",IF(AND(F50&gt;=H50,F50&lt;=I50),"OK","OUT"))</f>
        <v>OK</v>
      </c>
      <c r="K50" s="15" t="s">
        <v>106</v>
      </c>
    </row>
    <row r="51" customFormat="false" ht="15" hidden="false" customHeight="false" outlineLevel="0" collapsed="false">
      <c r="A51" s="14" t="n">
        <v>46293</v>
      </c>
      <c r="B51" s="15" t="s">
        <v>61</v>
      </c>
      <c r="C51" s="21" t="n">
        <v>0.666666666666667</v>
      </c>
      <c r="D51" s="22" t="s">
        <v>75</v>
      </c>
      <c r="E51" s="15" t="s">
        <v>62</v>
      </c>
      <c r="F51" s="23" t="n">
        <v>1.1</v>
      </c>
      <c r="G51" s="17" t="str">
        <f aca="false">IFERROR(INDEX(Plan!$F$38:$F$51,MATCH(B51&amp;"|"&amp;D51&amp;"|"&amp;E51,Plan!$G$38:$G$51,0)),INDEX(Plan!$F$38:$F$51,MATCH(B51&amp;"|"&amp;D51&amp;"|All",Plan!$G$38:$G$51,0)))</f>
        <v>%</v>
      </c>
      <c r="H51" s="17" t="n">
        <f aca="false">IFERROR(INDEX(Plan!$D$38:$D$51,MATCH(B51&amp;"|"&amp;D51&amp;"|"&amp;E51,Plan!$G$38:$G$51,0)),INDEX(Plan!$D$38:$D$51,MATCH(B51&amp;"|"&amp;D51&amp;"|All",Plan!$G$38:$G$51,0)))</f>
        <v>0</v>
      </c>
      <c r="I51" s="17" t="n">
        <f aca="false">IFERROR(INDEX(Plan!$E$38:$E$51,MATCH(B51&amp;"|"&amp;D51&amp;"|"&amp;E51,Plan!$G$38:$G$51,0)),INDEX(Plan!$E$38:$E$51,MATCH(B51&amp;"|"&amp;D51&amp;"|All",Plan!$G$38:$G$51,0)))</f>
        <v>2</v>
      </c>
      <c r="J51" s="8" t="str">
        <f aca="false">IF(F51="","MISSING",IF(AND(F51&gt;=H51,F51&lt;=I51),"OK","OUT"))</f>
        <v>OK</v>
      </c>
      <c r="K51" s="15" t="s">
        <v>106</v>
      </c>
    </row>
    <row r="52" customFormat="false" ht="15" hidden="false" customHeight="false" outlineLevel="0" collapsed="false">
      <c r="A52" s="14" t="n">
        <v>46293</v>
      </c>
      <c r="B52" s="15" t="s">
        <v>61</v>
      </c>
      <c r="C52" s="21" t="n">
        <v>0.666666666666667</v>
      </c>
      <c r="D52" s="22" t="s">
        <v>76</v>
      </c>
      <c r="E52" s="15" t="s">
        <v>62</v>
      </c>
      <c r="F52" s="16" t="n">
        <v>28</v>
      </c>
      <c r="G52" s="17" t="str">
        <f aca="false">IFERROR(INDEX(Plan!$F$38:$F$51,MATCH(B52&amp;"|"&amp;D52&amp;"|"&amp;E52,Plan!$G$38:$G$51,0)),INDEX(Plan!$F$38:$F$51,MATCH(B52&amp;"|"&amp;D52&amp;"|All",Plan!$G$38:$G$51,0)))</f>
        <v>kg</v>
      </c>
      <c r="H52" s="17" t="n">
        <f aca="false">IFERROR(INDEX(Plan!$D$38:$D$51,MATCH(B52&amp;"|"&amp;D52&amp;"|"&amp;E52,Plan!$G$38:$G$51,0)),INDEX(Plan!$D$38:$D$51,MATCH(B52&amp;"|"&amp;D52&amp;"|All",Plan!$G$38:$G$51,0)))</f>
        <v>0</v>
      </c>
      <c r="I52" s="17" t="n">
        <f aca="false">IFERROR(INDEX(Plan!$E$38:$E$51,MATCH(B52&amp;"|"&amp;D52&amp;"|"&amp;E52,Plan!$G$38:$G$51,0)),INDEX(Plan!$E$38:$E$51,MATCH(B52&amp;"|"&amp;D52&amp;"|All",Plan!$G$38:$G$51,0)))</f>
        <v>35</v>
      </c>
      <c r="J52" s="8" t="str">
        <f aca="false">IF(F52="","MISSING",IF(AND(F52&gt;=H52,F52&lt;=I52),"OK","OUT"))</f>
        <v>OK</v>
      </c>
      <c r="K52" s="15" t="s">
        <v>106</v>
      </c>
    </row>
    <row r="53" customFormat="false" ht="15" hidden="false" customHeight="false" outlineLevel="0" collapsed="false">
      <c r="A53" s="14" t="n">
        <v>46293</v>
      </c>
      <c r="B53" s="15" t="s">
        <v>61</v>
      </c>
      <c r="C53" s="21" t="n">
        <v>0.666666666666667</v>
      </c>
      <c r="D53" s="22" t="s">
        <v>78</v>
      </c>
      <c r="E53" s="15" t="s">
        <v>62</v>
      </c>
      <c r="F53" s="23" t="n">
        <v>10.1</v>
      </c>
      <c r="G53" s="17" t="str">
        <f aca="false">IFERROR(INDEX(Plan!$F$38:$F$51,MATCH(B53&amp;"|"&amp;D53&amp;"|"&amp;E53,Plan!$G$38:$G$51,0)),INDEX(Plan!$F$38:$F$51,MATCH(B53&amp;"|"&amp;D53&amp;"|All",Plan!$G$38:$G$51,0)))</f>
        <v>%</v>
      </c>
      <c r="H53" s="17" t="n">
        <f aca="false">IFERROR(INDEX(Plan!$D$38:$D$51,MATCH(B53&amp;"|"&amp;D53&amp;"|"&amp;E53,Plan!$G$38:$G$51,0)),INDEX(Plan!$D$38:$D$51,MATCH(B53&amp;"|"&amp;D53&amp;"|All",Plan!$G$38:$G$51,0)))</f>
        <v>8</v>
      </c>
      <c r="I53" s="17" t="n">
        <f aca="false">IFERROR(INDEX(Plan!$E$38:$E$51,MATCH(B53&amp;"|"&amp;D53&amp;"|"&amp;E53,Plan!$G$38:$G$51,0)),INDEX(Plan!$E$38:$E$51,MATCH(B53&amp;"|"&amp;D53&amp;"|All",Plan!$G$38:$G$51,0)))</f>
        <v>11</v>
      </c>
      <c r="J53" s="8" t="str">
        <f aca="false">IF(F53="","MISSING",IF(AND(F53&gt;=H53,F53&lt;=I53),"OK","OUT"))</f>
        <v>OK</v>
      </c>
      <c r="K53" s="15" t="s">
        <v>106</v>
      </c>
    </row>
    <row r="54" customFormat="false" ht="15" hidden="false" customHeight="false" outlineLevel="0" collapsed="false">
      <c r="A54" s="14" t="n">
        <v>46293</v>
      </c>
      <c r="B54" s="15" t="s">
        <v>61</v>
      </c>
      <c r="C54" s="21" t="n">
        <v>0.6875</v>
      </c>
      <c r="D54" s="15" t="s">
        <v>73</v>
      </c>
      <c r="E54" s="15" t="s">
        <v>62</v>
      </c>
      <c r="F54" s="16" t="n">
        <v>1090</v>
      </c>
      <c r="G54" s="17" t="str">
        <f aca="false">IFERROR(INDEX(Plan!$F$38:$F$51,MATCH(B54&amp;"|"&amp;D54&amp;"|"&amp;E54,Plan!$G$38:$G$51,0)),INDEX(Plan!$F$38:$F$51,MATCH(B54&amp;"|"&amp;D54&amp;"|All",Plan!$G$38:$G$51,0)))</f>
        <v>kg/hr</v>
      </c>
      <c r="H54" s="17" t="n">
        <f aca="false">IFERROR(INDEX(Plan!$D$38:$D$51,MATCH(B54&amp;"|"&amp;D54&amp;"|"&amp;E54,Plan!$G$38:$G$51,0)),INDEX(Plan!$D$38:$D$51,MATCH(B54&amp;"|"&amp;D54&amp;"|All",Plan!$G$38:$G$51,0)))</f>
        <v>1050</v>
      </c>
      <c r="I54" s="17" t="n">
        <f aca="false">IFERROR(INDEX(Plan!$E$38:$E$51,MATCH(B54&amp;"|"&amp;D54&amp;"|"&amp;E54,Plan!$G$38:$G$51,0)),INDEX(Plan!$E$38:$E$51,MATCH(B54&amp;"|"&amp;D54&amp;"|All",Plan!$G$38:$G$51,0)))</f>
        <v>1300</v>
      </c>
      <c r="J54" s="8" t="str">
        <f aca="false">IF(F54="","MISSING",IF(AND(F54&gt;=H54,F54&lt;=I54),"OK","OUT"))</f>
        <v>OK</v>
      </c>
      <c r="K54" s="15" t="s">
        <v>106</v>
      </c>
    </row>
    <row r="55" customFormat="false" ht="15" hidden="false" customHeight="false" outlineLevel="0" collapsed="false">
      <c r="A55" s="14" t="n">
        <v>46293</v>
      </c>
      <c r="B55" s="15" t="s">
        <v>61</v>
      </c>
      <c r="C55" s="21" t="n">
        <v>0.6875</v>
      </c>
      <c r="D55" s="22" t="s">
        <v>75</v>
      </c>
      <c r="E55" s="15" t="s">
        <v>62</v>
      </c>
      <c r="F55" s="23" t="n">
        <v>1.1</v>
      </c>
      <c r="G55" s="17" t="str">
        <f aca="false">IFERROR(INDEX(Plan!$F$38:$F$51,MATCH(B55&amp;"|"&amp;D55&amp;"|"&amp;E55,Plan!$G$38:$G$51,0)),INDEX(Plan!$F$38:$F$51,MATCH(B55&amp;"|"&amp;D55&amp;"|All",Plan!$G$38:$G$51,0)))</f>
        <v>%</v>
      </c>
      <c r="H55" s="17" t="n">
        <f aca="false">IFERROR(INDEX(Plan!$D$38:$D$51,MATCH(B55&amp;"|"&amp;D55&amp;"|"&amp;E55,Plan!$G$38:$G$51,0)),INDEX(Plan!$D$38:$D$51,MATCH(B55&amp;"|"&amp;D55&amp;"|All",Plan!$G$38:$G$51,0)))</f>
        <v>0</v>
      </c>
      <c r="I55" s="17" t="n">
        <f aca="false">IFERROR(INDEX(Plan!$E$38:$E$51,MATCH(B55&amp;"|"&amp;D55&amp;"|"&amp;E55,Plan!$G$38:$G$51,0)),INDEX(Plan!$E$38:$E$51,MATCH(B55&amp;"|"&amp;D55&amp;"|All",Plan!$G$38:$G$51,0)))</f>
        <v>2</v>
      </c>
      <c r="J55" s="8" t="str">
        <f aca="false">IF(F55="","MISSING",IF(AND(F55&gt;=H55,F55&lt;=I55),"OK","OUT"))</f>
        <v>OK</v>
      </c>
      <c r="K55" s="15" t="s">
        <v>106</v>
      </c>
    </row>
    <row r="56" customFormat="false" ht="15" hidden="false" customHeight="false" outlineLevel="0" collapsed="false">
      <c r="A56" s="14" t="n">
        <v>46293</v>
      </c>
      <c r="B56" s="15" t="s">
        <v>61</v>
      </c>
      <c r="C56" s="21" t="n">
        <v>0.6875</v>
      </c>
      <c r="D56" s="22" t="s">
        <v>76</v>
      </c>
      <c r="E56" s="15" t="s">
        <v>62</v>
      </c>
      <c r="F56" s="16" t="n">
        <v>27</v>
      </c>
      <c r="G56" s="17" t="str">
        <f aca="false">IFERROR(INDEX(Plan!$F$38:$F$51,MATCH(B56&amp;"|"&amp;D56&amp;"|"&amp;E56,Plan!$G$38:$G$51,0)),INDEX(Plan!$F$38:$F$51,MATCH(B56&amp;"|"&amp;D56&amp;"|All",Plan!$G$38:$G$51,0)))</f>
        <v>kg</v>
      </c>
      <c r="H56" s="17" t="n">
        <f aca="false">IFERROR(INDEX(Plan!$D$38:$D$51,MATCH(B56&amp;"|"&amp;D56&amp;"|"&amp;E56,Plan!$G$38:$G$51,0)),INDEX(Plan!$D$38:$D$51,MATCH(B56&amp;"|"&amp;D56&amp;"|All",Plan!$G$38:$G$51,0)))</f>
        <v>0</v>
      </c>
      <c r="I56" s="17" t="n">
        <f aca="false">IFERROR(INDEX(Plan!$E$38:$E$51,MATCH(B56&amp;"|"&amp;D56&amp;"|"&amp;E56,Plan!$G$38:$G$51,0)),INDEX(Plan!$E$38:$E$51,MATCH(B56&amp;"|"&amp;D56&amp;"|All",Plan!$G$38:$G$51,0)))</f>
        <v>35</v>
      </c>
      <c r="J56" s="8" t="str">
        <f aca="false">IF(F56="","MISSING",IF(AND(F56&gt;=H56,F56&lt;=I56),"OK","OUT"))</f>
        <v>OK</v>
      </c>
      <c r="K56" s="15" t="s">
        <v>106</v>
      </c>
    </row>
    <row r="57" customFormat="false" ht="15" hidden="false" customHeight="false" outlineLevel="0" collapsed="false">
      <c r="A57" s="14" t="n">
        <v>46293</v>
      </c>
      <c r="B57" s="15" t="s">
        <v>61</v>
      </c>
      <c r="C57" s="21" t="n">
        <v>0.6875</v>
      </c>
      <c r="D57" s="22" t="s">
        <v>78</v>
      </c>
      <c r="E57" s="15" t="s">
        <v>62</v>
      </c>
      <c r="F57" s="23" t="n">
        <v>10.5</v>
      </c>
      <c r="G57" s="17" t="str">
        <f aca="false">IFERROR(INDEX(Plan!$F$38:$F$51,MATCH(B57&amp;"|"&amp;D57&amp;"|"&amp;E57,Plan!$G$38:$G$51,0)),INDEX(Plan!$F$38:$F$51,MATCH(B57&amp;"|"&amp;D57&amp;"|All",Plan!$G$38:$G$51,0)))</f>
        <v>%</v>
      </c>
      <c r="H57" s="17" t="n">
        <f aca="false">IFERROR(INDEX(Plan!$D$38:$D$51,MATCH(B57&amp;"|"&amp;D57&amp;"|"&amp;E57,Plan!$G$38:$G$51,0)),INDEX(Plan!$D$38:$D$51,MATCH(B57&amp;"|"&amp;D57&amp;"|All",Plan!$G$38:$G$51,0)))</f>
        <v>8</v>
      </c>
      <c r="I57" s="17" t="n">
        <f aca="false">IFERROR(INDEX(Plan!$E$38:$E$51,MATCH(B57&amp;"|"&amp;D57&amp;"|"&amp;E57,Plan!$G$38:$G$51,0)),INDEX(Plan!$E$38:$E$51,MATCH(B57&amp;"|"&amp;D57&amp;"|All",Plan!$G$38:$G$51,0)))</f>
        <v>11</v>
      </c>
      <c r="J57" s="8" t="str">
        <f aca="false">IF(F57="","MISSING",IF(AND(F57&gt;=H57,F57&lt;=I57),"OK","OUT"))</f>
        <v>OK</v>
      </c>
      <c r="K57" s="15" t="s">
        <v>106</v>
      </c>
    </row>
    <row r="58" customFormat="false" ht="15" hidden="false" customHeight="false" outlineLevel="0" collapsed="false">
      <c r="A58" s="14" t="n">
        <v>46293</v>
      </c>
      <c r="B58" s="15" t="s">
        <v>61</v>
      </c>
      <c r="C58" s="21" t="n">
        <v>0.694444444444444</v>
      </c>
      <c r="D58" s="15" t="s">
        <v>73</v>
      </c>
      <c r="E58" s="15" t="s">
        <v>62</v>
      </c>
      <c r="F58" s="16" t="n">
        <v>1090</v>
      </c>
      <c r="G58" s="17" t="str">
        <f aca="false">IFERROR(INDEX(Plan!$F$38:$F$51,MATCH(B58&amp;"|"&amp;D58&amp;"|"&amp;E58,Plan!$G$38:$G$51,0)),INDEX(Plan!$F$38:$F$51,MATCH(B58&amp;"|"&amp;D58&amp;"|All",Plan!$G$38:$G$51,0)))</f>
        <v>kg/hr</v>
      </c>
      <c r="H58" s="17" t="n">
        <f aca="false">IFERROR(INDEX(Plan!$D$38:$D$51,MATCH(B58&amp;"|"&amp;D58&amp;"|"&amp;E58,Plan!$G$38:$G$51,0)),INDEX(Plan!$D$38:$D$51,MATCH(B58&amp;"|"&amp;D58&amp;"|All",Plan!$G$38:$G$51,0)))</f>
        <v>1050</v>
      </c>
      <c r="I58" s="17" t="n">
        <f aca="false">IFERROR(INDEX(Plan!$E$38:$E$51,MATCH(B58&amp;"|"&amp;D58&amp;"|"&amp;E58,Plan!$G$38:$G$51,0)),INDEX(Plan!$E$38:$E$51,MATCH(B58&amp;"|"&amp;D58&amp;"|All",Plan!$G$38:$G$51,0)))</f>
        <v>1300</v>
      </c>
      <c r="J58" s="8" t="str">
        <f aca="false">IF(F58="","MISSING",IF(AND(F58&gt;=H58,F58&lt;=I58),"OK","OUT"))</f>
        <v>OK</v>
      </c>
      <c r="K58" s="15" t="s">
        <v>106</v>
      </c>
    </row>
    <row r="59" customFormat="false" ht="15" hidden="false" customHeight="false" outlineLevel="0" collapsed="false">
      <c r="A59" s="14" t="n">
        <v>46293</v>
      </c>
      <c r="B59" s="15" t="s">
        <v>61</v>
      </c>
      <c r="C59" s="21" t="n">
        <v>0.694444444444444</v>
      </c>
      <c r="D59" s="22" t="s">
        <v>75</v>
      </c>
      <c r="E59" s="15" t="s">
        <v>62</v>
      </c>
      <c r="F59" s="23" t="n">
        <v>1.2</v>
      </c>
      <c r="G59" s="17" t="str">
        <f aca="false">IFERROR(INDEX(Plan!$F$38:$F$51,MATCH(B59&amp;"|"&amp;D59&amp;"|"&amp;E59,Plan!$G$38:$G$51,0)),INDEX(Plan!$F$38:$F$51,MATCH(B59&amp;"|"&amp;D59&amp;"|All",Plan!$G$38:$G$51,0)))</f>
        <v>%</v>
      </c>
      <c r="H59" s="17" t="n">
        <f aca="false">IFERROR(INDEX(Plan!$D$38:$D$51,MATCH(B59&amp;"|"&amp;D59&amp;"|"&amp;E59,Plan!$G$38:$G$51,0)),INDEX(Plan!$D$38:$D$51,MATCH(B59&amp;"|"&amp;D59&amp;"|All",Plan!$G$38:$G$51,0)))</f>
        <v>0</v>
      </c>
      <c r="I59" s="17" t="n">
        <f aca="false">IFERROR(INDEX(Plan!$E$38:$E$51,MATCH(B59&amp;"|"&amp;D59&amp;"|"&amp;E59,Plan!$G$38:$G$51,0)),INDEX(Plan!$E$38:$E$51,MATCH(B59&amp;"|"&amp;D59&amp;"|All",Plan!$G$38:$G$51,0)))</f>
        <v>2</v>
      </c>
      <c r="J59" s="8" t="str">
        <f aca="false">IF(F59="","MISSING",IF(AND(F59&gt;=H59,F59&lt;=I59),"OK","OUT"))</f>
        <v>OK</v>
      </c>
      <c r="K59" s="15" t="s">
        <v>106</v>
      </c>
    </row>
    <row r="60" customFormat="false" ht="15" hidden="false" customHeight="false" outlineLevel="0" collapsed="false">
      <c r="A60" s="14" t="n">
        <v>46293</v>
      </c>
      <c r="B60" s="15" t="s">
        <v>61</v>
      </c>
      <c r="C60" s="21" t="n">
        <v>0.694444444444444</v>
      </c>
      <c r="D60" s="22" t="s">
        <v>76</v>
      </c>
      <c r="E60" s="15" t="s">
        <v>62</v>
      </c>
      <c r="F60" s="16" t="n">
        <v>9</v>
      </c>
      <c r="G60" s="17" t="str">
        <f aca="false">IFERROR(INDEX(Plan!$F$38:$F$51,MATCH(B60&amp;"|"&amp;D60&amp;"|"&amp;E60,Plan!$G$38:$G$51,0)),INDEX(Plan!$F$38:$F$51,MATCH(B60&amp;"|"&amp;D60&amp;"|All",Plan!$G$38:$G$51,0)))</f>
        <v>kg</v>
      </c>
      <c r="H60" s="17" t="n">
        <f aca="false">IFERROR(INDEX(Plan!$D$38:$D$51,MATCH(B60&amp;"|"&amp;D60&amp;"|"&amp;E60,Plan!$G$38:$G$51,0)),INDEX(Plan!$D$38:$D$51,MATCH(B60&amp;"|"&amp;D60&amp;"|All",Plan!$G$38:$G$51,0)))</f>
        <v>0</v>
      </c>
      <c r="I60" s="17" t="n">
        <f aca="false">IFERROR(INDEX(Plan!$E$38:$E$51,MATCH(B60&amp;"|"&amp;D60&amp;"|"&amp;E60,Plan!$G$38:$G$51,0)),INDEX(Plan!$E$38:$E$51,MATCH(B60&amp;"|"&amp;D60&amp;"|All",Plan!$G$38:$G$51,0)))</f>
        <v>35</v>
      </c>
      <c r="J60" s="8" t="str">
        <f aca="false">IF(F60="","MISSING",IF(AND(F60&gt;=H60,F60&lt;=I60),"OK","OUT"))</f>
        <v>OK</v>
      </c>
      <c r="K60" s="15" t="s">
        <v>106</v>
      </c>
    </row>
    <row r="61" customFormat="false" ht="15" hidden="false" customHeight="false" outlineLevel="0" collapsed="false">
      <c r="A61" s="14" t="n">
        <v>46293</v>
      </c>
      <c r="B61" s="15" t="s">
        <v>61</v>
      </c>
      <c r="C61" s="21" t="n">
        <v>0.694444444444444</v>
      </c>
      <c r="D61" s="22" t="s">
        <v>78</v>
      </c>
      <c r="E61" s="15" t="s">
        <v>62</v>
      </c>
      <c r="F61" s="23" t="n">
        <v>9.7</v>
      </c>
      <c r="G61" s="17" t="str">
        <f aca="false">IFERROR(INDEX(Plan!$F$38:$F$51,MATCH(B61&amp;"|"&amp;D61&amp;"|"&amp;E61,Plan!$G$38:$G$51,0)),INDEX(Plan!$F$38:$F$51,MATCH(B61&amp;"|"&amp;D61&amp;"|All",Plan!$G$38:$G$51,0)))</f>
        <v>%</v>
      </c>
      <c r="H61" s="17" t="n">
        <f aca="false">IFERROR(INDEX(Plan!$D$38:$D$51,MATCH(B61&amp;"|"&amp;D61&amp;"|"&amp;E61,Plan!$G$38:$G$51,0)),INDEX(Plan!$D$38:$D$51,MATCH(B61&amp;"|"&amp;D61&amp;"|All",Plan!$G$38:$G$51,0)))</f>
        <v>8</v>
      </c>
      <c r="I61" s="17" t="n">
        <f aca="false">IFERROR(INDEX(Plan!$E$38:$E$51,MATCH(B61&amp;"|"&amp;D61&amp;"|"&amp;E61,Plan!$G$38:$G$51,0)),INDEX(Plan!$E$38:$E$51,MATCH(B61&amp;"|"&amp;D61&amp;"|All",Plan!$G$38:$G$51,0)))</f>
        <v>11</v>
      </c>
      <c r="J61" s="8" t="str">
        <f aca="false">IF(F61="","MISSING",IF(AND(F61&gt;=H61,F61&lt;=I61),"OK","OUT"))</f>
        <v>OK</v>
      </c>
      <c r="K61" s="15" t="s">
        <v>106</v>
      </c>
    </row>
    <row r="62" customFormat="false" ht="15" hidden="false" customHeight="false" outlineLevel="0" collapsed="false">
      <c r="A62" s="14" t="n">
        <v>46295</v>
      </c>
      <c r="B62" s="15" t="s">
        <v>64</v>
      </c>
      <c r="C62" s="21" t="n">
        <v>0.395833333333333</v>
      </c>
      <c r="D62" s="15" t="s">
        <v>79</v>
      </c>
      <c r="E62" s="15" t="s">
        <v>62</v>
      </c>
      <c r="F62" s="16" t="n">
        <v>1030</v>
      </c>
      <c r="G62" s="17" t="str">
        <f aca="false">IFERROR(INDEX(Plan!$F$38:$F$51,MATCH(B62&amp;"|"&amp;D62&amp;"|"&amp;E62,Plan!$G$38:$G$51,0)),INDEX(Plan!$F$38:$F$51,MATCH(B62&amp;"|"&amp;D62&amp;"|All",Plan!$G$38:$G$51,0)))</f>
        <v>kg/hr</v>
      </c>
      <c r="H62" s="17" t="n">
        <f aca="false">IFERROR(INDEX(Plan!$D$38:$D$51,MATCH(B62&amp;"|"&amp;D62&amp;"|"&amp;E62,Plan!$G$38:$G$51,0)),INDEX(Plan!$D$38:$D$51,MATCH(B62&amp;"|"&amp;D62&amp;"|All",Plan!$G$38:$G$51,0)))</f>
        <v>1000</v>
      </c>
      <c r="I62" s="17" t="n">
        <f aca="false">IFERROR(INDEX(Plan!$E$38:$E$51,MATCH(B62&amp;"|"&amp;D62&amp;"|"&amp;E62,Plan!$G$38:$G$51,0)),INDEX(Plan!$E$38:$E$51,MATCH(B62&amp;"|"&amp;D62&amp;"|All",Plan!$G$38:$G$51,0)))</f>
        <v>1060</v>
      </c>
      <c r="J62" s="8" t="str">
        <f aca="false">IF(F62="","MISSING",IF(AND(F62&gt;=H62,F62&lt;=I62),"OK","OUT"))</f>
        <v>OK</v>
      </c>
      <c r="K62" s="15" t="s">
        <v>107</v>
      </c>
    </row>
    <row r="63" customFormat="false" ht="15" hidden="false" customHeight="false" outlineLevel="0" collapsed="false">
      <c r="A63" s="14" t="n">
        <v>46295</v>
      </c>
      <c r="B63" s="15" t="s">
        <v>64</v>
      </c>
      <c r="C63" s="21" t="n">
        <v>0.395833333333333</v>
      </c>
      <c r="D63" s="15" t="s">
        <v>80</v>
      </c>
      <c r="E63" s="15" t="s">
        <v>62</v>
      </c>
      <c r="F63" s="23" t="n">
        <v>91.4</v>
      </c>
      <c r="G63" s="17" t="str">
        <f aca="false">IFERROR(INDEX(Plan!$F$38:$F$51,MATCH(B63&amp;"|"&amp;D63&amp;"|"&amp;E63,Plan!$G$38:$G$51,0)),INDEX(Plan!$F$38:$F$51,MATCH(B63&amp;"|"&amp;D63&amp;"|All",Plan!$G$38:$G$51,0)))</f>
        <v>A</v>
      </c>
      <c r="H63" s="17" t="n">
        <f aca="false">IFERROR(INDEX(Plan!$D$38:$D$51,MATCH(B63&amp;"|"&amp;D63&amp;"|"&amp;E63,Plan!$G$38:$G$51,0)),INDEX(Plan!$D$38:$D$51,MATCH(B63&amp;"|"&amp;D63&amp;"|All",Plan!$G$38:$G$51,0)))</f>
        <v>80</v>
      </c>
      <c r="I63" s="17" t="n">
        <f aca="false">IFERROR(INDEX(Plan!$E$38:$E$51,MATCH(B63&amp;"|"&amp;D63&amp;"|"&amp;E63,Plan!$G$38:$G$51,0)),INDEX(Plan!$E$38:$E$51,MATCH(B63&amp;"|"&amp;D63&amp;"|All",Plan!$G$38:$G$51,0)))</f>
        <v>95</v>
      </c>
      <c r="J63" s="8" t="str">
        <f aca="false">IF(F63="","MISSING",IF(AND(F63&gt;=H63,F63&lt;=I63),"OK","OUT"))</f>
        <v>OK</v>
      </c>
      <c r="K63" s="15" t="s">
        <v>107</v>
      </c>
    </row>
    <row r="64" customFormat="false" ht="15" hidden="false" customHeight="false" outlineLevel="0" collapsed="false">
      <c r="A64" s="14" t="n">
        <v>46295</v>
      </c>
      <c r="B64" s="15" t="s">
        <v>64</v>
      </c>
      <c r="C64" s="21" t="n">
        <v>0.395833333333333</v>
      </c>
      <c r="D64" s="22" t="s">
        <v>82</v>
      </c>
      <c r="E64" s="15" t="s">
        <v>62</v>
      </c>
      <c r="F64" s="23" t="n">
        <v>36.9</v>
      </c>
      <c r="G64" s="17" t="str">
        <f aca="false">IFERROR(INDEX(Plan!$F$38:$F$51,MATCH(B64&amp;"|"&amp;D64&amp;"|"&amp;E64,Plan!$G$38:$G$51,0)),INDEX(Plan!$F$38:$F$51,MATCH(B64&amp;"|"&amp;D64&amp;"|All",Plan!$G$38:$G$51,0)))</f>
        <v>°C</v>
      </c>
      <c r="H64" s="17" t="n">
        <f aca="false">IFERROR(INDEX(Plan!$D$38:$D$51,MATCH(B64&amp;"|"&amp;D64&amp;"|"&amp;E64,Plan!$G$38:$G$51,0)),INDEX(Plan!$D$38:$D$51,MATCH(B64&amp;"|"&amp;D64&amp;"|All",Plan!$G$38:$G$51,0)))</f>
        <v>30</v>
      </c>
      <c r="I64" s="17" t="n">
        <f aca="false">IFERROR(INDEX(Plan!$E$38:$E$51,MATCH(B64&amp;"|"&amp;D64&amp;"|"&amp;E64,Plan!$G$38:$G$51,0)),INDEX(Plan!$E$38:$E$51,MATCH(B64&amp;"|"&amp;D64&amp;"|All",Plan!$G$38:$G$51,0)))</f>
        <v>42</v>
      </c>
      <c r="J64" s="8" t="str">
        <f aca="false">IF(F64="","MISSING",IF(AND(F64&gt;=H64,F64&lt;=I64),"OK","OUT"))</f>
        <v>OK</v>
      </c>
      <c r="K64" s="15" t="s">
        <v>107</v>
      </c>
    </row>
    <row r="65" customFormat="false" ht="15" hidden="false" customHeight="false" outlineLevel="0" collapsed="false">
      <c r="A65" s="14" t="n">
        <v>46295</v>
      </c>
      <c r="B65" s="15" t="s">
        <v>64</v>
      </c>
      <c r="C65" s="21" t="n">
        <v>0.395833333333333</v>
      </c>
      <c r="D65" s="22" t="s">
        <v>84</v>
      </c>
      <c r="E65" s="15" t="s">
        <v>62</v>
      </c>
      <c r="F65" s="23" t="n">
        <v>97.4</v>
      </c>
      <c r="G65" s="17" t="str">
        <f aca="false">IFERROR(INDEX(Plan!$F$38:$F$51,MATCH(B65&amp;"|"&amp;D65&amp;"|"&amp;E65,Plan!$G$38:$G$51,0)),INDEX(Plan!$F$38:$F$51,MATCH(B65&amp;"|"&amp;D65&amp;"|All",Plan!$G$38:$G$51,0)))</f>
        <v>%</v>
      </c>
      <c r="H65" s="17" t="n">
        <f aca="false">IFERROR(INDEX(Plan!$D$38:$D$51,MATCH(B65&amp;"|"&amp;D65&amp;"|"&amp;E65,Plan!$G$38:$G$51,0)),INDEX(Plan!$D$38:$D$51,MATCH(B65&amp;"|"&amp;D65&amp;"|All",Plan!$G$38:$G$51,0)))</f>
        <v>95</v>
      </c>
      <c r="I65" s="17" t="n">
        <f aca="false">IFERROR(INDEX(Plan!$E$38:$E$51,MATCH(B65&amp;"|"&amp;D65&amp;"|"&amp;E65,Plan!$G$38:$G$51,0)),INDEX(Plan!$E$38:$E$51,MATCH(B65&amp;"|"&amp;D65&amp;"|All",Plan!$G$38:$G$51,0)))</f>
        <v>100</v>
      </c>
      <c r="J65" s="8" t="str">
        <f aca="false">IF(F65="","MISSING",IF(AND(F65&gt;=H65,F65&lt;=I65),"OK","OUT"))</f>
        <v>OK</v>
      </c>
      <c r="K65" s="15" t="s">
        <v>107</v>
      </c>
    </row>
    <row r="66" customFormat="false" ht="15" hidden="false" customHeight="false" outlineLevel="0" collapsed="false">
      <c r="A66" s="14" t="n">
        <v>46295</v>
      </c>
      <c r="B66" s="15" t="s">
        <v>64</v>
      </c>
      <c r="C66" s="21" t="n">
        <v>0.395833333333333</v>
      </c>
      <c r="D66" s="15" t="s">
        <v>85</v>
      </c>
      <c r="E66" s="15" t="s">
        <v>62</v>
      </c>
      <c r="F66" s="23" t="n">
        <v>412.2</v>
      </c>
      <c r="G66" s="17" t="str">
        <f aca="false">IFERROR(INDEX(Plan!$F$38:$F$51,MATCH(B66&amp;"|"&amp;D66&amp;"|"&amp;E66,Plan!$G$38:$G$51,0)),INDEX(Plan!$F$38:$F$51,MATCH(B66&amp;"|"&amp;D66&amp;"|All",Plan!$G$38:$G$51,0)))</f>
        <v>hours</v>
      </c>
      <c r="H66" s="17" t="n">
        <f aca="false">IFERROR(INDEX(Plan!$D$38:$D$51,MATCH(B66&amp;"|"&amp;D66&amp;"|"&amp;E66,Plan!$G$38:$G$51,0)),INDEX(Plan!$D$38:$D$51,MATCH(B66&amp;"|"&amp;D66&amp;"|All",Plan!$G$38:$G$51,0)))</f>
        <v>0</v>
      </c>
      <c r="I66" s="17" t="n">
        <f aca="false">IFERROR(INDEX(Plan!$E$38:$E$51,MATCH(B66&amp;"|"&amp;D66&amp;"|"&amp;E66,Plan!$G$38:$G$51,0)),INDEX(Plan!$E$38:$E$51,MATCH(B66&amp;"|"&amp;D66&amp;"|All",Plan!$G$38:$G$51,0)))</f>
        <v>400</v>
      </c>
      <c r="J66" s="8" t="str">
        <f aca="false">IF(F66="","MISSING",IF(AND(F66&gt;=H66,F66&lt;=I66),"OK","OUT"))</f>
        <v>OUT</v>
      </c>
      <c r="K66" s="15" t="s">
        <v>107</v>
      </c>
    </row>
    <row r="67" customFormat="false" ht="15" hidden="false" customHeight="false" outlineLevel="0" collapsed="false">
      <c r="A67" s="14" t="n">
        <v>46295</v>
      </c>
      <c r="B67" s="15" t="s">
        <v>64</v>
      </c>
      <c r="C67" s="21" t="n">
        <v>0.416666666666667</v>
      </c>
      <c r="D67" s="15" t="s">
        <v>79</v>
      </c>
      <c r="E67" s="15" t="s">
        <v>62</v>
      </c>
      <c r="F67" s="16" t="n">
        <v>1030</v>
      </c>
      <c r="G67" s="17" t="str">
        <f aca="false">IFERROR(INDEX(Plan!$F$38:$F$51,MATCH(B67&amp;"|"&amp;D67&amp;"|"&amp;E67,Plan!$G$38:$G$51,0)),INDEX(Plan!$F$38:$F$51,MATCH(B67&amp;"|"&amp;D67&amp;"|All",Plan!$G$38:$G$51,0)))</f>
        <v>kg/hr</v>
      </c>
      <c r="H67" s="17" t="n">
        <f aca="false">IFERROR(INDEX(Plan!$D$38:$D$51,MATCH(B67&amp;"|"&amp;D67&amp;"|"&amp;E67,Plan!$G$38:$G$51,0)),INDEX(Plan!$D$38:$D$51,MATCH(B67&amp;"|"&amp;D67&amp;"|All",Plan!$G$38:$G$51,0)))</f>
        <v>1000</v>
      </c>
      <c r="I67" s="17" t="n">
        <f aca="false">IFERROR(INDEX(Plan!$E$38:$E$51,MATCH(B67&amp;"|"&amp;D67&amp;"|"&amp;E67,Plan!$G$38:$G$51,0)),INDEX(Plan!$E$38:$E$51,MATCH(B67&amp;"|"&amp;D67&amp;"|All",Plan!$G$38:$G$51,0)))</f>
        <v>1060</v>
      </c>
      <c r="J67" s="8" t="str">
        <f aca="false">IF(F67="","MISSING",IF(AND(F67&gt;=H67,F67&lt;=I67),"OK","OUT"))</f>
        <v>OK</v>
      </c>
      <c r="K67" s="15" t="s">
        <v>107</v>
      </c>
    </row>
    <row r="68" customFormat="false" ht="15" hidden="false" customHeight="false" outlineLevel="0" collapsed="false">
      <c r="A68" s="14" t="n">
        <v>46295</v>
      </c>
      <c r="B68" s="15" t="s">
        <v>64</v>
      </c>
      <c r="C68" s="21" t="n">
        <v>0.416666666666667</v>
      </c>
      <c r="D68" s="15" t="s">
        <v>80</v>
      </c>
      <c r="E68" s="15" t="s">
        <v>62</v>
      </c>
      <c r="F68" s="23" t="n">
        <v>89.2</v>
      </c>
      <c r="G68" s="17" t="str">
        <f aca="false">IFERROR(INDEX(Plan!$F$38:$F$51,MATCH(B68&amp;"|"&amp;D68&amp;"|"&amp;E68,Plan!$G$38:$G$51,0)),INDEX(Plan!$F$38:$F$51,MATCH(B68&amp;"|"&amp;D68&amp;"|All",Plan!$G$38:$G$51,0)))</f>
        <v>A</v>
      </c>
      <c r="H68" s="17" t="n">
        <f aca="false">IFERROR(INDEX(Plan!$D$38:$D$51,MATCH(B68&amp;"|"&amp;D68&amp;"|"&amp;E68,Plan!$G$38:$G$51,0)),INDEX(Plan!$D$38:$D$51,MATCH(B68&amp;"|"&amp;D68&amp;"|All",Plan!$G$38:$G$51,0)))</f>
        <v>80</v>
      </c>
      <c r="I68" s="17" t="n">
        <f aca="false">IFERROR(INDEX(Plan!$E$38:$E$51,MATCH(B68&amp;"|"&amp;D68&amp;"|"&amp;E68,Plan!$G$38:$G$51,0)),INDEX(Plan!$E$38:$E$51,MATCH(B68&amp;"|"&amp;D68&amp;"|All",Plan!$G$38:$G$51,0)))</f>
        <v>95</v>
      </c>
      <c r="J68" s="8" t="str">
        <f aca="false">IF(F68="","MISSING",IF(AND(F68&gt;=H68,F68&lt;=I68),"OK","OUT"))</f>
        <v>OK</v>
      </c>
      <c r="K68" s="15" t="s">
        <v>107</v>
      </c>
    </row>
    <row r="69" customFormat="false" ht="15" hidden="false" customHeight="false" outlineLevel="0" collapsed="false">
      <c r="A69" s="14" t="n">
        <v>46295</v>
      </c>
      <c r="B69" s="15" t="s">
        <v>64</v>
      </c>
      <c r="C69" s="21" t="n">
        <v>0.416666666666667</v>
      </c>
      <c r="D69" s="22" t="s">
        <v>82</v>
      </c>
      <c r="E69" s="15" t="s">
        <v>62</v>
      </c>
      <c r="F69" s="23" t="n">
        <v>36.1</v>
      </c>
      <c r="G69" s="17" t="str">
        <f aca="false">IFERROR(INDEX(Plan!$F$38:$F$51,MATCH(B69&amp;"|"&amp;D69&amp;"|"&amp;E69,Plan!$G$38:$G$51,0)),INDEX(Plan!$F$38:$F$51,MATCH(B69&amp;"|"&amp;D69&amp;"|All",Plan!$G$38:$G$51,0)))</f>
        <v>°C</v>
      </c>
      <c r="H69" s="17" t="n">
        <f aca="false">IFERROR(INDEX(Plan!$D$38:$D$51,MATCH(B69&amp;"|"&amp;D69&amp;"|"&amp;E69,Plan!$G$38:$G$51,0)),INDEX(Plan!$D$38:$D$51,MATCH(B69&amp;"|"&amp;D69&amp;"|All",Plan!$G$38:$G$51,0)))</f>
        <v>30</v>
      </c>
      <c r="I69" s="17" t="n">
        <f aca="false">IFERROR(INDEX(Plan!$E$38:$E$51,MATCH(B69&amp;"|"&amp;D69&amp;"|"&amp;E69,Plan!$G$38:$G$51,0)),INDEX(Plan!$E$38:$E$51,MATCH(B69&amp;"|"&amp;D69&amp;"|All",Plan!$G$38:$G$51,0)))</f>
        <v>42</v>
      </c>
      <c r="J69" s="8" t="str">
        <f aca="false">IF(F69="","MISSING",IF(AND(F69&gt;=H69,F69&lt;=I69),"OK","OUT"))</f>
        <v>OK</v>
      </c>
      <c r="K69" s="15" t="s">
        <v>107</v>
      </c>
    </row>
    <row r="70" customFormat="false" ht="15" hidden="false" customHeight="false" outlineLevel="0" collapsed="false">
      <c r="A70" s="14" t="n">
        <v>46295</v>
      </c>
      <c r="B70" s="15" t="s">
        <v>64</v>
      </c>
      <c r="C70" s="21" t="n">
        <v>0.416666666666667</v>
      </c>
      <c r="D70" s="22" t="s">
        <v>84</v>
      </c>
      <c r="E70" s="15" t="s">
        <v>62</v>
      </c>
      <c r="F70" s="23" t="n">
        <v>95.6</v>
      </c>
      <c r="G70" s="17" t="str">
        <f aca="false">IFERROR(INDEX(Plan!$F$38:$F$51,MATCH(B70&amp;"|"&amp;D70&amp;"|"&amp;E70,Plan!$G$38:$G$51,0)),INDEX(Plan!$F$38:$F$51,MATCH(B70&amp;"|"&amp;D70&amp;"|All",Plan!$G$38:$G$51,0)))</f>
        <v>%</v>
      </c>
      <c r="H70" s="17" t="n">
        <f aca="false">IFERROR(INDEX(Plan!$D$38:$D$51,MATCH(B70&amp;"|"&amp;D70&amp;"|"&amp;E70,Plan!$G$38:$G$51,0)),INDEX(Plan!$D$38:$D$51,MATCH(B70&amp;"|"&amp;D70&amp;"|All",Plan!$G$38:$G$51,0)))</f>
        <v>95</v>
      </c>
      <c r="I70" s="17" t="n">
        <f aca="false">IFERROR(INDEX(Plan!$E$38:$E$51,MATCH(B70&amp;"|"&amp;D70&amp;"|"&amp;E70,Plan!$G$38:$G$51,0)),INDEX(Plan!$E$38:$E$51,MATCH(B70&amp;"|"&amp;D70&amp;"|All",Plan!$G$38:$G$51,0)))</f>
        <v>100</v>
      </c>
      <c r="J70" s="8" t="str">
        <f aca="false">IF(F70="","MISSING",IF(AND(F70&gt;=H70,F70&lt;=I70),"OK","OUT"))</f>
        <v>OK</v>
      </c>
      <c r="K70" s="15" t="s">
        <v>107</v>
      </c>
    </row>
    <row r="71" customFormat="false" ht="15" hidden="false" customHeight="false" outlineLevel="0" collapsed="false">
      <c r="A71" s="14" t="n">
        <v>46295</v>
      </c>
      <c r="B71" s="15" t="s">
        <v>64</v>
      </c>
      <c r="C71" s="21" t="n">
        <v>0.416666666666667</v>
      </c>
      <c r="D71" s="15" t="s">
        <v>85</v>
      </c>
      <c r="E71" s="15" t="s">
        <v>62</v>
      </c>
      <c r="F71" s="23" t="n">
        <v>412.8</v>
      </c>
      <c r="G71" s="17" t="str">
        <f aca="false">IFERROR(INDEX(Plan!$F$38:$F$51,MATCH(B71&amp;"|"&amp;D71&amp;"|"&amp;E71,Plan!$G$38:$G$51,0)),INDEX(Plan!$F$38:$F$51,MATCH(B71&amp;"|"&amp;D71&amp;"|All",Plan!$G$38:$G$51,0)))</f>
        <v>hours</v>
      </c>
      <c r="H71" s="17" t="n">
        <f aca="false">IFERROR(INDEX(Plan!$D$38:$D$51,MATCH(B71&amp;"|"&amp;D71&amp;"|"&amp;E71,Plan!$G$38:$G$51,0)),INDEX(Plan!$D$38:$D$51,MATCH(B71&amp;"|"&amp;D71&amp;"|All",Plan!$G$38:$G$51,0)))</f>
        <v>0</v>
      </c>
      <c r="I71" s="17" t="n">
        <f aca="false">IFERROR(INDEX(Plan!$E$38:$E$51,MATCH(B71&amp;"|"&amp;D71&amp;"|"&amp;E71,Plan!$G$38:$G$51,0)),INDEX(Plan!$E$38:$E$51,MATCH(B71&amp;"|"&amp;D71&amp;"|All",Plan!$G$38:$G$51,0)))</f>
        <v>400</v>
      </c>
      <c r="J71" s="8" t="str">
        <f aca="false">IF(F71="","MISSING",IF(AND(F71&gt;=H71,F71&lt;=I71),"OK","OUT"))</f>
        <v>OUT</v>
      </c>
      <c r="K71" s="15" t="s">
        <v>107</v>
      </c>
    </row>
    <row r="72" customFormat="false" ht="15" hidden="false" customHeight="false" outlineLevel="0" collapsed="false">
      <c r="A72" s="14" t="n">
        <v>46295</v>
      </c>
      <c r="B72" s="15" t="s">
        <v>64</v>
      </c>
      <c r="C72" s="21" t="n">
        <v>0.416666666666667</v>
      </c>
      <c r="D72" s="22" t="s">
        <v>87</v>
      </c>
      <c r="E72" s="15" t="s">
        <v>62</v>
      </c>
      <c r="F72" s="16" t="n">
        <v>136</v>
      </c>
      <c r="G72" s="17" t="str">
        <f aca="false">IFERROR(INDEX(Plan!$F$38:$F$51,MATCH(B72&amp;"|"&amp;D72&amp;"|"&amp;E72,Plan!$G$38:$G$51,0)),INDEX(Plan!$F$38:$F$51,MATCH(B72&amp;"|"&amp;D72&amp;"|All",Plan!$G$38:$G$51,0)))</f>
        <v>ASTA</v>
      </c>
      <c r="H72" s="17" t="n">
        <f aca="false">IFERROR(INDEX(Plan!$D$38:$D$51,MATCH(B72&amp;"|"&amp;D72&amp;"|"&amp;E72,Plan!$G$38:$G$51,0)),INDEX(Plan!$D$38:$D$51,MATCH(B72&amp;"|"&amp;D72&amp;"|All",Plan!$G$38:$G$51,0)))</f>
        <v>120</v>
      </c>
      <c r="I72" s="17" t="n">
        <f aca="false">IFERROR(INDEX(Plan!$E$38:$E$51,MATCH(B72&amp;"|"&amp;D72&amp;"|"&amp;E72,Plan!$G$38:$G$51,0)),INDEX(Plan!$E$38:$E$51,MATCH(B72&amp;"|"&amp;D72&amp;"|All",Plan!$G$38:$G$51,0)))</f>
        <v>180</v>
      </c>
      <c r="J72" s="8" t="str">
        <f aca="false">IF(F72="","MISSING",IF(AND(F72&gt;=H72,F72&lt;=I72),"OK","OUT"))</f>
        <v>OK</v>
      </c>
      <c r="K72" s="15" t="s">
        <v>107</v>
      </c>
    </row>
    <row r="73" customFormat="false" ht="15" hidden="false" customHeight="false" outlineLevel="0" collapsed="false">
      <c r="A73" s="14" t="n">
        <v>46295</v>
      </c>
      <c r="B73" s="15" t="s">
        <v>64</v>
      </c>
      <c r="C73" s="21" t="n">
        <v>0.4375</v>
      </c>
      <c r="D73" s="15" t="s">
        <v>79</v>
      </c>
      <c r="E73" s="15" t="s">
        <v>62</v>
      </c>
      <c r="F73" s="16" t="n">
        <v>1030</v>
      </c>
      <c r="G73" s="17" t="str">
        <f aca="false">IFERROR(INDEX(Plan!$F$38:$F$51,MATCH(B73&amp;"|"&amp;D73&amp;"|"&amp;E73,Plan!$G$38:$G$51,0)),INDEX(Plan!$F$38:$F$51,MATCH(B73&amp;"|"&amp;D73&amp;"|All",Plan!$G$38:$G$51,0)))</f>
        <v>kg/hr</v>
      </c>
      <c r="H73" s="17" t="n">
        <f aca="false">IFERROR(INDEX(Plan!$D$38:$D$51,MATCH(B73&amp;"|"&amp;D73&amp;"|"&amp;E73,Plan!$G$38:$G$51,0)),INDEX(Plan!$D$38:$D$51,MATCH(B73&amp;"|"&amp;D73&amp;"|All",Plan!$G$38:$G$51,0)))</f>
        <v>1000</v>
      </c>
      <c r="I73" s="17" t="n">
        <f aca="false">IFERROR(INDEX(Plan!$E$38:$E$51,MATCH(B73&amp;"|"&amp;D73&amp;"|"&amp;E73,Plan!$G$38:$G$51,0)),INDEX(Plan!$E$38:$E$51,MATCH(B73&amp;"|"&amp;D73&amp;"|All",Plan!$G$38:$G$51,0)))</f>
        <v>1060</v>
      </c>
      <c r="J73" s="8" t="str">
        <f aca="false">IF(F73="","MISSING",IF(AND(F73&gt;=H73,F73&lt;=I73),"OK","OUT"))</f>
        <v>OK</v>
      </c>
      <c r="K73" s="15" t="s">
        <v>107</v>
      </c>
    </row>
    <row r="74" customFormat="false" ht="15" hidden="false" customHeight="false" outlineLevel="0" collapsed="false">
      <c r="A74" s="14" t="n">
        <v>46295</v>
      </c>
      <c r="B74" s="15" t="s">
        <v>64</v>
      </c>
      <c r="C74" s="21" t="n">
        <v>0.4375</v>
      </c>
      <c r="D74" s="15" t="s">
        <v>80</v>
      </c>
      <c r="E74" s="15" t="s">
        <v>62</v>
      </c>
      <c r="F74" s="23" t="n">
        <v>88.5</v>
      </c>
      <c r="G74" s="17" t="str">
        <f aca="false">IFERROR(INDEX(Plan!$F$38:$F$51,MATCH(B74&amp;"|"&amp;D74&amp;"|"&amp;E74,Plan!$G$38:$G$51,0)),INDEX(Plan!$F$38:$F$51,MATCH(B74&amp;"|"&amp;D74&amp;"|All",Plan!$G$38:$G$51,0)))</f>
        <v>A</v>
      </c>
      <c r="H74" s="17" t="n">
        <f aca="false">IFERROR(INDEX(Plan!$D$38:$D$51,MATCH(B74&amp;"|"&amp;D74&amp;"|"&amp;E74,Plan!$G$38:$G$51,0)),INDEX(Plan!$D$38:$D$51,MATCH(B74&amp;"|"&amp;D74&amp;"|All",Plan!$G$38:$G$51,0)))</f>
        <v>80</v>
      </c>
      <c r="I74" s="17" t="n">
        <f aca="false">IFERROR(INDEX(Plan!$E$38:$E$51,MATCH(B74&amp;"|"&amp;D74&amp;"|"&amp;E74,Plan!$G$38:$G$51,0)),INDEX(Plan!$E$38:$E$51,MATCH(B74&amp;"|"&amp;D74&amp;"|All",Plan!$G$38:$G$51,0)))</f>
        <v>95</v>
      </c>
      <c r="J74" s="8" t="str">
        <f aca="false">IF(F74="","MISSING",IF(AND(F74&gt;=H74,F74&lt;=I74),"OK","OUT"))</f>
        <v>OK</v>
      </c>
      <c r="K74" s="15" t="s">
        <v>107</v>
      </c>
    </row>
    <row r="75" customFormat="false" ht="15" hidden="false" customHeight="false" outlineLevel="0" collapsed="false">
      <c r="A75" s="14" t="n">
        <v>46295</v>
      </c>
      <c r="B75" s="15" t="s">
        <v>64</v>
      </c>
      <c r="C75" s="21" t="n">
        <v>0.4375</v>
      </c>
      <c r="D75" s="22" t="s">
        <v>82</v>
      </c>
      <c r="E75" s="15" t="s">
        <v>62</v>
      </c>
      <c r="F75" s="23" t="n">
        <v>37.8</v>
      </c>
      <c r="G75" s="17" t="str">
        <f aca="false">IFERROR(INDEX(Plan!$F$38:$F$51,MATCH(B75&amp;"|"&amp;D75&amp;"|"&amp;E75,Plan!$G$38:$G$51,0)),INDEX(Plan!$F$38:$F$51,MATCH(B75&amp;"|"&amp;D75&amp;"|All",Plan!$G$38:$G$51,0)))</f>
        <v>°C</v>
      </c>
      <c r="H75" s="17" t="n">
        <f aca="false">IFERROR(INDEX(Plan!$D$38:$D$51,MATCH(B75&amp;"|"&amp;D75&amp;"|"&amp;E75,Plan!$G$38:$G$51,0)),INDEX(Plan!$D$38:$D$51,MATCH(B75&amp;"|"&amp;D75&amp;"|All",Plan!$G$38:$G$51,0)))</f>
        <v>30</v>
      </c>
      <c r="I75" s="17" t="n">
        <f aca="false">IFERROR(INDEX(Plan!$E$38:$E$51,MATCH(B75&amp;"|"&amp;D75&amp;"|"&amp;E75,Plan!$G$38:$G$51,0)),INDEX(Plan!$E$38:$E$51,MATCH(B75&amp;"|"&amp;D75&amp;"|All",Plan!$G$38:$G$51,0)))</f>
        <v>42</v>
      </c>
      <c r="J75" s="8" t="str">
        <f aca="false">IF(F75="","MISSING",IF(AND(F75&gt;=H75,F75&lt;=I75),"OK","OUT"))</f>
        <v>OK</v>
      </c>
      <c r="K75" s="15" t="s">
        <v>107</v>
      </c>
    </row>
    <row r="76" customFormat="false" ht="15" hidden="false" customHeight="false" outlineLevel="0" collapsed="false">
      <c r="A76" s="14" t="n">
        <v>46295</v>
      </c>
      <c r="B76" s="15" t="s">
        <v>64</v>
      </c>
      <c r="C76" s="21" t="n">
        <v>0.4375</v>
      </c>
      <c r="D76" s="22" t="s">
        <v>84</v>
      </c>
      <c r="E76" s="15" t="s">
        <v>62</v>
      </c>
      <c r="F76" s="23" t="n">
        <v>94.5</v>
      </c>
      <c r="G76" s="17" t="str">
        <f aca="false">IFERROR(INDEX(Plan!$F$38:$F$51,MATCH(B76&amp;"|"&amp;D76&amp;"|"&amp;E76,Plan!$G$38:$G$51,0)),INDEX(Plan!$F$38:$F$51,MATCH(B76&amp;"|"&amp;D76&amp;"|All",Plan!$G$38:$G$51,0)))</f>
        <v>%</v>
      </c>
      <c r="H76" s="17" t="n">
        <f aca="false">IFERROR(INDEX(Plan!$D$38:$D$51,MATCH(B76&amp;"|"&amp;D76&amp;"|"&amp;E76,Plan!$G$38:$G$51,0)),INDEX(Plan!$D$38:$D$51,MATCH(B76&amp;"|"&amp;D76&amp;"|All",Plan!$G$38:$G$51,0)))</f>
        <v>95</v>
      </c>
      <c r="I76" s="17" t="n">
        <f aca="false">IFERROR(INDEX(Plan!$E$38:$E$51,MATCH(B76&amp;"|"&amp;D76&amp;"|"&amp;E76,Plan!$G$38:$G$51,0)),INDEX(Plan!$E$38:$E$51,MATCH(B76&amp;"|"&amp;D76&amp;"|All",Plan!$G$38:$G$51,0)))</f>
        <v>100</v>
      </c>
      <c r="J76" s="8" t="str">
        <f aca="false">IF(F76="","MISSING",IF(AND(F76&gt;=H76,F76&lt;=I76),"OK","OUT"))</f>
        <v>OUT</v>
      </c>
      <c r="K76" s="15" t="s">
        <v>107</v>
      </c>
    </row>
    <row r="77" customFormat="false" ht="15" hidden="false" customHeight="false" outlineLevel="0" collapsed="false">
      <c r="A77" s="14" t="n">
        <v>46295</v>
      </c>
      <c r="B77" s="15" t="s">
        <v>64</v>
      </c>
      <c r="C77" s="21" t="n">
        <v>0.4375</v>
      </c>
      <c r="D77" s="15" t="s">
        <v>85</v>
      </c>
      <c r="E77" s="15" t="s">
        <v>62</v>
      </c>
      <c r="F77" s="23" t="n">
        <v>413.2</v>
      </c>
      <c r="G77" s="17" t="str">
        <f aca="false">IFERROR(INDEX(Plan!$F$38:$F$51,MATCH(B77&amp;"|"&amp;D77&amp;"|"&amp;E77,Plan!$G$38:$G$51,0)),INDEX(Plan!$F$38:$F$51,MATCH(B77&amp;"|"&amp;D77&amp;"|All",Plan!$G$38:$G$51,0)))</f>
        <v>hours</v>
      </c>
      <c r="H77" s="17" t="n">
        <f aca="false">IFERROR(INDEX(Plan!$D$38:$D$51,MATCH(B77&amp;"|"&amp;D77&amp;"|"&amp;E77,Plan!$G$38:$G$51,0)),INDEX(Plan!$D$38:$D$51,MATCH(B77&amp;"|"&amp;D77&amp;"|All",Plan!$G$38:$G$51,0)))</f>
        <v>0</v>
      </c>
      <c r="I77" s="17" t="n">
        <f aca="false">IFERROR(INDEX(Plan!$E$38:$E$51,MATCH(B77&amp;"|"&amp;D77&amp;"|"&amp;E77,Plan!$G$38:$G$51,0)),INDEX(Plan!$E$38:$E$51,MATCH(B77&amp;"|"&amp;D77&amp;"|All",Plan!$G$38:$G$51,0)))</f>
        <v>400</v>
      </c>
      <c r="J77" s="8" t="str">
        <f aca="false">IF(F77="","MISSING",IF(AND(F77&gt;=H77,F77&lt;=I77),"OK","OUT"))</f>
        <v>OUT</v>
      </c>
      <c r="K77" s="15" t="s">
        <v>107</v>
      </c>
    </row>
    <row r="78" customFormat="false" ht="15" hidden="false" customHeight="false" outlineLevel="0" collapsed="false">
      <c r="A78" s="14" t="n">
        <v>46295</v>
      </c>
      <c r="B78" s="15" t="s">
        <v>64</v>
      </c>
      <c r="C78" s="21" t="n">
        <v>0.458333333333333</v>
      </c>
      <c r="D78" s="15" t="s">
        <v>79</v>
      </c>
      <c r="E78" s="15" t="s">
        <v>62</v>
      </c>
      <c r="F78" s="16" t="n">
        <v>1030</v>
      </c>
      <c r="G78" s="17" t="str">
        <f aca="false">IFERROR(INDEX(Plan!$F$38:$F$51,MATCH(B78&amp;"|"&amp;D78&amp;"|"&amp;E78,Plan!$G$38:$G$51,0)),INDEX(Plan!$F$38:$F$51,MATCH(B78&amp;"|"&amp;D78&amp;"|All",Plan!$G$38:$G$51,0)))</f>
        <v>kg/hr</v>
      </c>
      <c r="H78" s="17" t="n">
        <f aca="false">IFERROR(INDEX(Plan!$D$38:$D$51,MATCH(B78&amp;"|"&amp;D78&amp;"|"&amp;E78,Plan!$G$38:$G$51,0)),INDEX(Plan!$D$38:$D$51,MATCH(B78&amp;"|"&amp;D78&amp;"|All",Plan!$G$38:$G$51,0)))</f>
        <v>1000</v>
      </c>
      <c r="I78" s="17" t="n">
        <f aca="false">IFERROR(INDEX(Plan!$E$38:$E$51,MATCH(B78&amp;"|"&amp;D78&amp;"|"&amp;E78,Plan!$G$38:$G$51,0)),INDEX(Plan!$E$38:$E$51,MATCH(B78&amp;"|"&amp;D78&amp;"|All",Plan!$G$38:$G$51,0)))</f>
        <v>1060</v>
      </c>
      <c r="J78" s="8" t="str">
        <f aca="false">IF(F78="","MISSING",IF(AND(F78&gt;=H78,F78&lt;=I78),"OK","OUT"))</f>
        <v>OK</v>
      </c>
      <c r="K78" s="15" t="s">
        <v>107</v>
      </c>
    </row>
    <row r="79" customFormat="false" ht="15" hidden="false" customHeight="false" outlineLevel="0" collapsed="false">
      <c r="A79" s="14" t="n">
        <v>46295</v>
      </c>
      <c r="B79" s="15" t="s">
        <v>64</v>
      </c>
      <c r="C79" s="21" t="n">
        <v>0.458333333333333</v>
      </c>
      <c r="D79" s="15" t="s">
        <v>80</v>
      </c>
      <c r="E79" s="15" t="s">
        <v>62</v>
      </c>
      <c r="F79" s="23" t="n">
        <v>89.5</v>
      </c>
      <c r="G79" s="17" t="str">
        <f aca="false">IFERROR(INDEX(Plan!$F$38:$F$51,MATCH(B79&amp;"|"&amp;D79&amp;"|"&amp;E79,Plan!$G$38:$G$51,0)),INDEX(Plan!$F$38:$F$51,MATCH(B79&amp;"|"&amp;D79&amp;"|All",Plan!$G$38:$G$51,0)))</f>
        <v>A</v>
      </c>
      <c r="H79" s="17" t="n">
        <f aca="false">IFERROR(INDEX(Plan!$D$38:$D$51,MATCH(B79&amp;"|"&amp;D79&amp;"|"&amp;E79,Plan!$G$38:$G$51,0)),INDEX(Plan!$D$38:$D$51,MATCH(B79&amp;"|"&amp;D79&amp;"|All",Plan!$G$38:$G$51,0)))</f>
        <v>80</v>
      </c>
      <c r="I79" s="17" t="n">
        <f aca="false">IFERROR(INDEX(Plan!$E$38:$E$51,MATCH(B79&amp;"|"&amp;D79&amp;"|"&amp;E79,Plan!$G$38:$G$51,0)),INDEX(Plan!$E$38:$E$51,MATCH(B79&amp;"|"&amp;D79&amp;"|All",Plan!$G$38:$G$51,0)))</f>
        <v>95</v>
      </c>
      <c r="J79" s="8" t="str">
        <f aca="false">IF(F79="","MISSING",IF(AND(F79&gt;=H79,F79&lt;=I79),"OK","OUT"))</f>
        <v>OK</v>
      </c>
      <c r="K79" s="15" t="s">
        <v>107</v>
      </c>
    </row>
    <row r="80" customFormat="false" ht="15" hidden="false" customHeight="false" outlineLevel="0" collapsed="false">
      <c r="A80" s="14" t="n">
        <v>46295</v>
      </c>
      <c r="B80" s="15" t="s">
        <v>64</v>
      </c>
      <c r="C80" s="21" t="n">
        <v>0.458333333333333</v>
      </c>
      <c r="D80" s="22" t="s">
        <v>82</v>
      </c>
      <c r="E80" s="15" t="s">
        <v>62</v>
      </c>
      <c r="F80" s="23" t="n">
        <v>36.8</v>
      </c>
      <c r="G80" s="17" t="str">
        <f aca="false">IFERROR(INDEX(Plan!$F$38:$F$51,MATCH(B80&amp;"|"&amp;D80&amp;"|"&amp;E80,Plan!$G$38:$G$51,0)),INDEX(Plan!$F$38:$F$51,MATCH(B80&amp;"|"&amp;D80&amp;"|All",Plan!$G$38:$G$51,0)))</f>
        <v>°C</v>
      </c>
      <c r="H80" s="17" t="n">
        <f aca="false">IFERROR(INDEX(Plan!$D$38:$D$51,MATCH(B80&amp;"|"&amp;D80&amp;"|"&amp;E80,Plan!$G$38:$G$51,0)),INDEX(Plan!$D$38:$D$51,MATCH(B80&amp;"|"&amp;D80&amp;"|All",Plan!$G$38:$G$51,0)))</f>
        <v>30</v>
      </c>
      <c r="I80" s="17" t="n">
        <f aca="false">IFERROR(INDEX(Plan!$E$38:$E$51,MATCH(B80&amp;"|"&amp;D80&amp;"|"&amp;E80,Plan!$G$38:$G$51,0)),INDEX(Plan!$E$38:$E$51,MATCH(B80&amp;"|"&amp;D80&amp;"|All",Plan!$G$38:$G$51,0)))</f>
        <v>42</v>
      </c>
      <c r="J80" s="8" t="str">
        <f aca="false">IF(F80="","MISSING",IF(AND(F80&gt;=H80,F80&lt;=I80),"OK","OUT"))</f>
        <v>OK</v>
      </c>
      <c r="K80" s="15" t="s">
        <v>107</v>
      </c>
    </row>
    <row r="81" customFormat="false" ht="15" hidden="false" customHeight="false" outlineLevel="0" collapsed="false">
      <c r="A81" s="14" t="n">
        <v>46295</v>
      </c>
      <c r="B81" s="15" t="s">
        <v>64</v>
      </c>
      <c r="C81" s="21" t="n">
        <v>0.458333333333333</v>
      </c>
      <c r="D81" s="22" t="s">
        <v>84</v>
      </c>
      <c r="E81" s="15" t="s">
        <v>62</v>
      </c>
      <c r="F81" s="23" t="n">
        <v>91.7</v>
      </c>
      <c r="G81" s="17" t="str">
        <f aca="false">IFERROR(INDEX(Plan!$F$38:$F$51,MATCH(B81&amp;"|"&amp;D81&amp;"|"&amp;E81,Plan!$G$38:$G$51,0)),INDEX(Plan!$F$38:$F$51,MATCH(B81&amp;"|"&amp;D81&amp;"|All",Plan!$G$38:$G$51,0)))</f>
        <v>%</v>
      </c>
      <c r="H81" s="17" t="n">
        <f aca="false">IFERROR(INDEX(Plan!$D$38:$D$51,MATCH(B81&amp;"|"&amp;D81&amp;"|"&amp;E81,Plan!$G$38:$G$51,0)),INDEX(Plan!$D$38:$D$51,MATCH(B81&amp;"|"&amp;D81&amp;"|All",Plan!$G$38:$G$51,0)))</f>
        <v>95</v>
      </c>
      <c r="I81" s="17" t="n">
        <f aca="false">IFERROR(INDEX(Plan!$E$38:$E$51,MATCH(B81&amp;"|"&amp;D81&amp;"|"&amp;E81,Plan!$G$38:$G$51,0)),INDEX(Plan!$E$38:$E$51,MATCH(B81&amp;"|"&amp;D81&amp;"|All",Plan!$G$38:$G$51,0)))</f>
        <v>100</v>
      </c>
      <c r="J81" s="8" t="str">
        <f aca="false">IF(F81="","MISSING",IF(AND(F81&gt;=H81,F81&lt;=I81),"OK","OUT"))</f>
        <v>OUT</v>
      </c>
      <c r="K81" s="15" t="s">
        <v>107</v>
      </c>
    </row>
    <row r="82" customFormat="false" ht="15" hidden="false" customHeight="false" outlineLevel="0" collapsed="false">
      <c r="A82" s="14" t="n">
        <v>46295</v>
      </c>
      <c r="B82" s="15" t="s">
        <v>64</v>
      </c>
      <c r="C82" s="21" t="n">
        <v>0.458333333333333</v>
      </c>
      <c r="D82" s="15" t="s">
        <v>85</v>
      </c>
      <c r="E82" s="15" t="s">
        <v>62</v>
      </c>
      <c r="F82" s="23" t="n">
        <v>413.8</v>
      </c>
      <c r="G82" s="17" t="str">
        <f aca="false">IFERROR(INDEX(Plan!$F$38:$F$51,MATCH(B82&amp;"|"&amp;D82&amp;"|"&amp;E82,Plan!$G$38:$G$51,0)),INDEX(Plan!$F$38:$F$51,MATCH(B82&amp;"|"&amp;D82&amp;"|All",Plan!$G$38:$G$51,0)))</f>
        <v>hours</v>
      </c>
      <c r="H82" s="17" t="n">
        <f aca="false">IFERROR(INDEX(Plan!$D$38:$D$51,MATCH(B82&amp;"|"&amp;D82&amp;"|"&amp;E82,Plan!$G$38:$G$51,0)),INDEX(Plan!$D$38:$D$51,MATCH(B82&amp;"|"&amp;D82&amp;"|All",Plan!$G$38:$G$51,0)))</f>
        <v>0</v>
      </c>
      <c r="I82" s="17" t="n">
        <f aca="false">IFERROR(INDEX(Plan!$E$38:$E$51,MATCH(B82&amp;"|"&amp;D82&amp;"|"&amp;E82,Plan!$G$38:$G$51,0)),INDEX(Plan!$E$38:$E$51,MATCH(B82&amp;"|"&amp;D82&amp;"|All",Plan!$G$38:$G$51,0)))</f>
        <v>400</v>
      </c>
      <c r="J82" s="8" t="str">
        <f aca="false">IF(F82="","MISSING",IF(AND(F82&gt;=H82,F82&lt;=I82),"OK","OUT"))</f>
        <v>OUT</v>
      </c>
      <c r="K82" s="15" t="s">
        <v>107</v>
      </c>
    </row>
    <row r="83" customFormat="false" ht="15" hidden="false" customHeight="false" outlineLevel="0" collapsed="false">
      <c r="A83" s="14" t="n">
        <v>46295</v>
      </c>
      <c r="B83" s="15" t="s">
        <v>64</v>
      </c>
      <c r="C83" s="21" t="n">
        <v>0.458333333333333</v>
      </c>
      <c r="D83" s="22" t="s">
        <v>87</v>
      </c>
      <c r="E83" s="15" t="s">
        <v>62</v>
      </c>
      <c r="F83" s="16" t="n">
        <v>140</v>
      </c>
      <c r="G83" s="17" t="str">
        <f aca="false">IFERROR(INDEX(Plan!$F$38:$F$51,MATCH(B83&amp;"|"&amp;D83&amp;"|"&amp;E83,Plan!$G$38:$G$51,0)),INDEX(Plan!$F$38:$F$51,MATCH(B83&amp;"|"&amp;D83&amp;"|All",Plan!$G$38:$G$51,0)))</f>
        <v>ASTA</v>
      </c>
      <c r="H83" s="17" t="n">
        <f aca="false">IFERROR(INDEX(Plan!$D$38:$D$51,MATCH(B83&amp;"|"&amp;D83&amp;"|"&amp;E83,Plan!$G$38:$G$51,0)),INDEX(Plan!$D$38:$D$51,MATCH(B83&amp;"|"&amp;D83&amp;"|All",Plan!$G$38:$G$51,0)))</f>
        <v>120</v>
      </c>
      <c r="I83" s="17" t="n">
        <f aca="false">IFERROR(INDEX(Plan!$E$38:$E$51,MATCH(B83&amp;"|"&amp;D83&amp;"|"&amp;E83,Plan!$G$38:$G$51,0)),INDEX(Plan!$E$38:$E$51,MATCH(B83&amp;"|"&amp;D83&amp;"|All",Plan!$G$38:$G$51,0)))</f>
        <v>180</v>
      </c>
      <c r="J83" s="8" t="str">
        <f aca="false">IF(F83="","MISSING",IF(AND(F83&gt;=H83,F83&lt;=I83),"OK","OUT"))</f>
        <v>OK</v>
      </c>
      <c r="K83" s="15" t="s">
        <v>107</v>
      </c>
    </row>
    <row r="84" customFormat="false" ht="15" hidden="false" customHeight="false" outlineLevel="0" collapsed="false">
      <c r="A84" s="14" t="n">
        <v>46295</v>
      </c>
      <c r="B84" s="15" t="s">
        <v>64</v>
      </c>
      <c r="C84" s="21" t="n">
        <v>0.479166666666667</v>
      </c>
      <c r="D84" s="15" t="s">
        <v>79</v>
      </c>
      <c r="E84" s="15" t="s">
        <v>62</v>
      </c>
      <c r="F84" s="16" t="n">
        <v>1200</v>
      </c>
      <c r="G84" s="17" t="str">
        <f aca="false">IFERROR(INDEX(Plan!$F$38:$F$51,MATCH(B84&amp;"|"&amp;D84&amp;"|"&amp;E84,Plan!$G$38:$G$51,0)),INDEX(Plan!$F$38:$F$51,MATCH(B84&amp;"|"&amp;D84&amp;"|All",Plan!$G$38:$G$51,0)))</f>
        <v>kg/hr</v>
      </c>
      <c r="H84" s="17" t="n">
        <f aca="false">IFERROR(INDEX(Plan!$D$38:$D$51,MATCH(B84&amp;"|"&amp;D84&amp;"|"&amp;E84,Plan!$G$38:$G$51,0)),INDEX(Plan!$D$38:$D$51,MATCH(B84&amp;"|"&amp;D84&amp;"|All",Plan!$G$38:$G$51,0)))</f>
        <v>1000</v>
      </c>
      <c r="I84" s="17" t="n">
        <f aca="false">IFERROR(INDEX(Plan!$E$38:$E$51,MATCH(B84&amp;"|"&amp;D84&amp;"|"&amp;E84,Plan!$G$38:$G$51,0)),INDEX(Plan!$E$38:$E$51,MATCH(B84&amp;"|"&amp;D84&amp;"|All",Plan!$G$38:$G$51,0)))</f>
        <v>1060</v>
      </c>
      <c r="J84" s="8" t="str">
        <f aca="false">IF(F84="","MISSING",IF(AND(F84&gt;=H84,F84&lt;=I84),"OK","OUT"))</f>
        <v>OUT</v>
      </c>
      <c r="K84" s="15" t="s">
        <v>107</v>
      </c>
    </row>
    <row r="85" customFormat="false" ht="15" hidden="false" customHeight="false" outlineLevel="0" collapsed="false">
      <c r="A85" s="14" t="n">
        <v>46295</v>
      </c>
      <c r="B85" s="15" t="s">
        <v>64</v>
      </c>
      <c r="C85" s="21" t="n">
        <v>0.479166666666667</v>
      </c>
      <c r="D85" s="15" t="s">
        <v>80</v>
      </c>
      <c r="E85" s="15" t="s">
        <v>62</v>
      </c>
      <c r="F85" s="23" t="n">
        <v>100.8</v>
      </c>
      <c r="G85" s="17" t="str">
        <f aca="false">IFERROR(INDEX(Plan!$F$38:$F$51,MATCH(B85&amp;"|"&amp;D85&amp;"|"&amp;E85,Plan!$G$38:$G$51,0)),INDEX(Plan!$F$38:$F$51,MATCH(B85&amp;"|"&amp;D85&amp;"|All",Plan!$G$38:$G$51,0)))</f>
        <v>A</v>
      </c>
      <c r="H85" s="17" t="n">
        <f aca="false">IFERROR(INDEX(Plan!$D$38:$D$51,MATCH(B85&amp;"|"&amp;D85&amp;"|"&amp;E85,Plan!$G$38:$G$51,0)),INDEX(Plan!$D$38:$D$51,MATCH(B85&amp;"|"&amp;D85&amp;"|All",Plan!$G$38:$G$51,0)))</f>
        <v>80</v>
      </c>
      <c r="I85" s="17" t="n">
        <f aca="false">IFERROR(INDEX(Plan!$E$38:$E$51,MATCH(B85&amp;"|"&amp;D85&amp;"|"&amp;E85,Plan!$G$38:$G$51,0)),INDEX(Plan!$E$38:$E$51,MATCH(B85&amp;"|"&amp;D85&amp;"|All",Plan!$G$38:$G$51,0)))</f>
        <v>95</v>
      </c>
      <c r="J85" s="8" t="str">
        <f aca="false">IF(F85="","MISSING",IF(AND(F85&gt;=H85,F85&lt;=I85),"OK","OUT"))</f>
        <v>OUT</v>
      </c>
      <c r="K85" s="15" t="s">
        <v>107</v>
      </c>
    </row>
    <row r="86" customFormat="false" ht="15" hidden="false" customHeight="false" outlineLevel="0" collapsed="false">
      <c r="A86" s="14" t="n">
        <v>46295</v>
      </c>
      <c r="B86" s="15" t="s">
        <v>64</v>
      </c>
      <c r="C86" s="21" t="n">
        <v>0.479166666666667</v>
      </c>
      <c r="D86" s="22" t="s">
        <v>82</v>
      </c>
      <c r="E86" s="15" t="s">
        <v>62</v>
      </c>
      <c r="F86" s="23" t="n">
        <v>47.9</v>
      </c>
      <c r="G86" s="17" t="str">
        <f aca="false">IFERROR(INDEX(Plan!$F$38:$F$51,MATCH(B86&amp;"|"&amp;D86&amp;"|"&amp;E86,Plan!$G$38:$G$51,0)),INDEX(Plan!$F$38:$F$51,MATCH(B86&amp;"|"&amp;D86&amp;"|All",Plan!$G$38:$G$51,0)))</f>
        <v>°C</v>
      </c>
      <c r="H86" s="17" t="n">
        <f aca="false">IFERROR(INDEX(Plan!$D$38:$D$51,MATCH(B86&amp;"|"&amp;D86&amp;"|"&amp;E86,Plan!$G$38:$G$51,0)),INDEX(Plan!$D$38:$D$51,MATCH(B86&amp;"|"&amp;D86&amp;"|All",Plan!$G$38:$G$51,0)))</f>
        <v>30</v>
      </c>
      <c r="I86" s="17" t="n">
        <f aca="false">IFERROR(INDEX(Plan!$E$38:$E$51,MATCH(B86&amp;"|"&amp;D86&amp;"|"&amp;E86,Plan!$G$38:$G$51,0)),INDEX(Plan!$E$38:$E$51,MATCH(B86&amp;"|"&amp;D86&amp;"|All",Plan!$G$38:$G$51,0)))</f>
        <v>42</v>
      </c>
      <c r="J86" s="8" t="str">
        <f aca="false">IF(F86="","MISSING",IF(AND(F86&gt;=H86,F86&lt;=I86),"OK","OUT"))</f>
        <v>OUT</v>
      </c>
      <c r="K86" s="15" t="s">
        <v>107</v>
      </c>
    </row>
    <row r="87" customFormat="false" ht="15" hidden="false" customHeight="false" outlineLevel="0" collapsed="false">
      <c r="A87" s="14" t="n">
        <v>46295</v>
      </c>
      <c r="B87" s="15" t="s">
        <v>64</v>
      </c>
      <c r="C87" s="21" t="n">
        <v>0.479166666666667</v>
      </c>
      <c r="D87" s="22" t="s">
        <v>84</v>
      </c>
      <c r="E87" s="15" t="s">
        <v>62</v>
      </c>
      <c r="F87" s="23" t="n">
        <v>90.1</v>
      </c>
      <c r="G87" s="17" t="str">
        <f aca="false">IFERROR(INDEX(Plan!$F$38:$F$51,MATCH(B87&amp;"|"&amp;D87&amp;"|"&amp;E87,Plan!$G$38:$G$51,0)),INDEX(Plan!$F$38:$F$51,MATCH(B87&amp;"|"&amp;D87&amp;"|All",Plan!$G$38:$G$51,0)))</f>
        <v>%</v>
      </c>
      <c r="H87" s="17" t="n">
        <f aca="false">IFERROR(INDEX(Plan!$D$38:$D$51,MATCH(B87&amp;"|"&amp;D87&amp;"|"&amp;E87,Plan!$G$38:$G$51,0)),INDEX(Plan!$D$38:$D$51,MATCH(B87&amp;"|"&amp;D87&amp;"|All",Plan!$G$38:$G$51,0)))</f>
        <v>95</v>
      </c>
      <c r="I87" s="17" t="n">
        <f aca="false">IFERROR(INDEX(Plan!$E$38:$E$51,MATCH(B87&amp;"|"&amp;D87&amp;"|"&amp;E87,Plan!$G$38:$G$51,0)),INDEX(Plan!$E$38:$E$51,MATCH(B87&amp;"|"&amp;D87&amp;"|All",Plan!$G$38:$G$51,0)))</f>
        <v>100</v>
      </c>
      <c r="J87" s="8" t="str">
        <f aca="false">IF(F87="","MISSING",IF(AND(F87&gt;=H87,F87&lt;=I87),"OK","OUT"))</f>
        <v>OUT</v>
      </c>
      <c r="K87" s="15" t="s">
        <v>107</v>
      </c>
    </row>
    <row r="88" customFormat="false" ht="15" hidden="false" customHeight="false" outlineLevel="0" collapsed="false">
      <c r="A88" s="14" t="n">
        <v>46295</v>
      </c>
      <c r="B88" s="15" t="s">
        <v>64</v>
      </c>
      <c r="C88" s="21" t="n">
        <v>0.479166666666667</v>
      </c>
      <c r="D88" s="15" t="s">
        <v>85</v>
      </c>
      <c r="E88" s="15" t="s">
        <v>62</v>
      </c>
      <c r="F88" s="23" t="n">
        <v>414.2</v>
      </c>
      <c r="G88" s="17" t="str">
        <f aca="false">IFERROR(INDEX(Plan!$F$38:$F$51,MATCH(B88&amp;"|"&amp;D88&amp;"|"&amp;E88,Plan!$G$38:$G$51,0)),INDEX(Plan!$F$38:$F$51,MATCH(B88&amp;"|"&amp;D88&amp;"|All",Plan!$G$38:$G$51,0)))</f>
        <v>hours</v>
      </c>
      <c r="H88" s="17" t="n">
        <f aca="false">IFERROR(INDEX(Plan!$D$38:$D$51,MATCH(B88&amp;"|"&amp;D88&amp;"|"&amp;E88,Plan!$G$38:$G$51,0)),INDEX(Plan!$D$38:$D$51,MATCH(B88&amp;"|"&amp;D88&amp;"|All",Plan!$G$38:$G$51,0)))</f>
        <v>0</v>
      </c>
      <c r="I88" s="17" t="n">
        <f aca="false">IFERROR(INDEX(Plan!$E$38:$E$51,MATCH(B88&amp;"|"&amp;D88&amp;"|"&amp;E88,Plan!$G$38:$G$51,0)),INDEX(Plan!$E$38:$E$51,MATCH(B88&amp;"|"&amp;D88&amp;"|All",Plan!$G$38:$G$51,0)))</f>
        <v>400</v>
      </c>
      <c r="J88" s="8" t="str">
        <f aca="false">IF(F88="","MISSING",IF(AND(F88&gt;=H88,F88&lt;=I88),"OK","OUT"))</f>
        <v>OUT</v>
      </c>
      <c r="K88" s="15" t="s">
        <v>107</v>
      </c>
    </row>
    <row r="89" customFormat="false" ht="15" hidden="false" customHeight="false" outlineLevel="0" collapsed="false">
      <c r="A89" s="14" t="n">
        <v>46295</v>
      </c>
      <c r="B89" s="15" t="s">
        <v>64</v>
      </c>
      <c r="C89" s="21" t="n">
        <v>0.5</v>
      </c>
      <c r="D89" s="15" t="s">
        <v>79</v>
      </c>
      <c r="E89" s="15" t="s">
        <v>62</v>
      </c>
      <c r="F89" s="16" t="n">
        <v>1200</v>
      </c>
      <c r="G89" s="17" t="str">
        <f aca="false">IFERROR(INDEX(Plan!$F$38:$F$51,MATCH(B89&amp;"|"&amp;D89&amp;"|"&amp;E89,Plan!$G$38:$G$51,0)),INDEX(Plan!$F$38:$F$51,MATCH(B89&amp;"|"&amp;D89&amp;"|All",Plan!$G$38:$G$51,0)))</f>
        <v>kg/hr</v>
      </c>
      <c r="H89" s="17" t="n">
        <f aca="false">IFERROR(INDEX(Plan!$D$38:$D$51,MATCH(B89&amp;"|"&amp;D89&amp;"|"&amp;E89,Plan!$G$38:$G$51,0)),INDEX(Plan!$D$38:$D$51,MATCH(B89&amp;"|"&amp;D89&amp;"|All",Plan!$G$38:$G$51,0)))</f>
        <v>1000</v>
      </c>
      <c r="I89" s="17" t="n">
        <f aca="false">IFERROR(INDEX(Plan!$E$38:$E$51,MATCH(B89&amp;"|"&amp;D89&amp;"|"&amp;E89,Plan!$G$38:$G$51,0)),INDEX(Plan!$E$38:$E$51,MATCH(B89&amp;"|"&amp;D89&amp;"|All",Plan!$G$38:$G$51,0)))</f>
        <v>1060</v>
      </c>
      <c r="J89" s="8" t="str">
        <f aca="false">IF(F89="","MISSING",IF(AND(F89&gt;=H89,F89&lt;=I89),"OK","OUT"))</f>
        <v>OUT</v>
      </c>
      <c r="K89" s="15" t="s">
        <v>107</v>
      </c>
    </row>
    <row r="90" customFormat="false" ht="15" hidden="false" customHeight="false" outlineLevel="0" collapsed="false">
      <c r="A90" s="14" t="n">
        <v>46295</v>
      </c>
      <c r="B90" s="15" t="s">
        <v>64</v>
      </c>
      <c r="C90" s="21" t="n">
        <v>0.5</v>
      </c>
      <c r="D90" s="15" t="s">
        <v>80</v>
      </c>
      <c r="E90" s="15" t="s">
        <v>62</v>
      </c>
      <c r="F90" s="23" t="n">
        <v>103</v>
      </c>
      <c r="G90" s="17" t="str">
        <f aca="false">IFERROR(INDEX(Plan!$F$38:$F$51,MATCH(B90&amp;"|"&amp;D90&amp;"|"&amp;E90,Plan!$G$38:$G$51,0)),INDEX(Plan!$F$38:$F$51,MATCH(B90&amp;"|"&amp;D90&amp;"|All",Plan!$G$38:$G$51,0)))</f>
        <v>A</v>
      </c>
      <c r="H90" s="17" t="n">
        <f aca="false">IFERROR(INDEX(Plan!$D$38:$D$51,MATCH(B90&amp;"|"&amp;D90&amp;"|"&amp;E90,Plan!$G$38:$G$51,0)),INDEX(Plan!$D$38:$D$51,MATCH(B90&amp;"|"&amp;D90&amp;"|All",Plan!$G$38:$G$51,0)))</f>
        <v>80</v>
      </c>
      <c r="I90" s="17" t="n">
        <f aca="false">IFERROR(INDEX(Plan!$E$38:$E$51,MATCH(B90&amp;"|"&amp;D90&amp;"|"&amp;E90,Plan!$G$38:$G$51,0)),INDEX(Plan!$E$38:$E$51,MATCH(B90&amp;"|"&amp;D90&amp;"|All",Plan!$G$38:$G$51,0)))</f>
        <v>95</v>
      </c>
      <c r="J90" s="8" t="str">
        <f aca="false">IF(F90="","MISSING",IF(AND(F90&gt;=H90,F90&lt;=I90),"OK","OUT"))</f>
        <v>OUT</v>
      </c>
      <c r="K90" s="15" t="s">
        <v>107</v>
      </c>
    </row>
    <row r="91" customFormat="false" ht="15" hidden="false" customHeight="false" outlineLevel="0" collapsed="false">
      <c r="A91" s="14" t="n">
        <v>46295</v>
      </c>
      <c r="B91" s="15" t="s">
        <v>64</v>
      </c>
      <c r="C91" s="21" t="n">
        <v>0.5</v>
      </c>
      <c r="D91" s="22" t="s">
        <v>82</v>
      </c>
      <c r="E91" s="15" t="s">
        <v>62</v>
      </c>
      <c r="F91" s="23" t="n">
        <v>49.5</v>
      </c>
      <c r="G91" s="17" t="str">
        <f aca="false">IFERROR(INDEX(Plan!$F$38:$F$51,MATCH(B91&amp;"|"&amp;D91&amp;"|"&amp;E91,Plan!$G$38:$G$51,0)),INDEX(Plan!$F$38:$F$51,MATCH(B91&amp;"|"&amp;D91&amp;"|All",Plan!$G$38:$G$51,0)))</f>
        <v>°C</v>
      </c>
      <c r="H91" s="17" t="n">
        <f aca="false">IFERROR(INDEX(Plan!$D$38:$D$51,MATCH(B91&amp;"|"&amp;D91&amp;"|"&amp;E91,Plan!$G$38:$G$51,0)),INDEX(Plan!$D$38:$D$51,MATCH(B91&amp;"|"&amp;D91&amp;"|All",Plan!$G$38:$G$51,0)))</f>
        <v>30</v>
      </c>
      <c r="I91" s="17" t="n">
        <f aca="false">IFERROR(INDEX(Plan!$E$38:$E$51,MATCH(B91&amp;"|"&amp;D91&amp;"|"&amp;E91,Plan!$G$38:$G$51,0)),INDEX(Plan!$E$38:$E$51,MATCH(B91&amp;"|"&amp;D91&amp;"|All",Plan!$G$38:$G$51,0)))</f>
        <v>42</v>
      </c>
      <c r="J91" s="8" t="str">
        <f aca="false">IF(F91="","MISSING",IF(AND(F91&gt;=H91,F91&lt;=I91),"OK","OUT"))</f>
        <v>OUT</v>
      </c>
      <c r="K91" s="15" t="s">
        <v>107</v>
      </c>
    </row>
    <row r="92" customFormat="false" ht="15" hidden="false" customHeight="false" outlineLevel="0" collapsed="false">
      <c r="A92" s="14" t="n">
        <v>46295</v>
      </c>
      <c r="B92" s="15" t="s">
        <v>64</v>
      </c>
      <c r="C92" s="21" t="n">
        <v>0.5</v>
      </c>
      <c r="D92" s="22" t="s">
        <v>84</v>
      </c>
      <c r="E92" s="15" t="s">
        <v>62</v>
      </c>
      <c r="F92" s="23" t="n">
        <v>88.2</v>
      </c>
      <c r="G92" s="17" t="str">
        <f aca="false">IFERROR(INDEX(Plan!$F$38:$F$51,MATCH(B92&amp;"|"&amp;D92&amp;"|"&amp;E92,Plan!$G$38:$G$51,0)),INDEX(Plan!$F$38:$F$51,MATCH(B92&amp;"|"&amp;D92&amp;"|All",Plan!$G$38:$G$51,0)))</f>
        <v>%</v>
      </c>
      <c r="H92" s="17" t="n">
        <f aca="false">IFERROR(INDEX(Plan!$D$38:$D$51,MATCH(B92&amp;"|"&amp;D92&amp;"|"&amp;E92,Plan!$G$38:$G$51,0)),INDEX(Plan!$D$38:$D$51,MATCH(B92&amp;"|"&amp;D92&amp;"|All",Plan!$G$38:$G$51,0)))</f>
        <v>95</v>
      </c>
      <c r="I92" s="17" t="n">
        <f aca="false">IFERROR(INDEX(Plan!$E$38:$E$51,MATCH(B92&amp;"|"&amp;D92&amp;"|"&amp;E92,Plan!$G$38:$G$51,0)),INDEX(Plan!$E$38:$E$51,MATCH(B92&amp;"|"&amp;D92&amp;"|All",Plan!$G$38:$G$51,0)))</f>
        <v>100</v>
      </c>
      <c r="J92" s="8" t="str">
        <f aca="false">IF(F92="","MISSING",IF(AND(F92&gt;=H92,F92&lt;=I92),"OK","OUT"))</f>
        <v>OUT</v>
      </c>
      <c r="K92" s="15" t="s">
        <v>107</v>
      </c>
    </row>
    <row r="93" customFormat="false" ht="15" hidden="false" customHeight="false" outlineLevel="0" collapsed="false">
      <c r="A93" s="14" t="n">
        <v>46295</v>
      </c>
      <c r="B93" s="15" t="s">
        <v>64</v>
      </c>
      <c r="C93" s="21" t="n">
        <v>0.5</v>
      </c>
      <c r="D93" s="15" t="s">
        <v>85</v>
      </c>
      <c r="E93" s="15" t="s">
        <v>62</v>
      </c>
      <c r="F93" s="23" t="n">
        <v>414.8</v>
      </c>
      <c r="G93" s="17" t="str">
        <f aca="false">IFERROR(INDEX(Plan!$F$38:$F$51,MATCH(B93&amp;"|"&amp;D93&amp;"|"&amp;E93,Plan!$G$38:$G$51,0)),INDEX(Plan!$F$38:$F$51,MATCH(B93&amp;"|"&amp;D93&amp;"|All",Plan!$G$38:$G$51,0)))</f>
        <v>hours</v>
      </c>
      <c r="H93" s="17" t="n">
        <f aca="false">IFERROR(INDEX(Plan!$D$38:$D$51,MATCH(B93&amp;"|"&amp;D93&amp;"|"&amp;E93,Plan!$G$38:$G$51,0)),INDEX(Plan!$D$38:$D$51,MATCH(B93&amp;"|"&amp;D93&amp;"|All",Plan!$G$38:$G$51,0)))</f>
        <v>0</v>
      </c>
      <c r="I93" s="17" t="n">
        <f aca="false">IFERROR(INDEX(Plan!$E$38:$E$51,MATCH(B93&amp;"|"&amp;D93&amp;"|"&amp;E93,Plan!$G$38:$G$51,0)),INDEX(Plan!$E$38:$E$51,MATCH(B93&amp;"|"&amp;D93&amp;"|All",Plan!$G$38:$G$51,0)))</f>
        <v>400</v>
      </c>
      <c r="J93" s="8" t="str">
        <f aca="false">IF(F93="","MISSING",IF(AND(F93&gt;=H93,F93&lt;=I93),"OK","OUT"))</f>
        <v>OUT</v>
      </c>
      <c r="K93" s="15" t="s">
        <v>107</v>
      </c>
    </row>
    <row r="94" customFormat="false" ht="15" hidden="false" customHeight="false" outlineLevel="0" collapsed="false">
      <c r="A94" s="14" t="n">
        <v>46295</v>
      </c>
      <c r="B94" s="15" t="s">
        <v>64</v>
      </c>
      <c r="C94" s="21" t="n">
        <v>0.5</v>
      </c>
      <c r="D94" s="22" t="s">
        <v>87</v>
      </c>
      <c r="E94" s="15" t="s">
        <v>62</v>
      </c>
      <c r="F94" s="16" t="n">
        <v>115</v>
      </c>
      <c r="G94" s="17" t="str">
        <f aca="false">IFERROR(INDEX(Plan!$F$38:$F$51,MATCH(B94&amp;"|"&amp;D94&amp;"|"&amp;E94,Plan!$G$38:$G$51,0)),INDEX(Plan!$F$38:$F$51,MATCH(B94&amp;"|"&amp;D94&amp;"|All",Plan!$G$38:$G$51,0)))</f>
        <v>ASTA</v>
      </c>
      <c r="H94" s="17" t="n">
        <f aca="false">IFERROR(INDEX(Plan!$D$38:$D$51,MATCH(B94&amp;"|"&amp;D94&amp;"|"&amp;E94,Plan!$G$38:$G$51,0)),INDEX(Plan!$D$38:$D$51,MATCH(B94&amp;"|"&amp;D94&amp;"|All",Plan!$G$38:$G$51,0)))</f>
        <v>120</v>
      </c>
      <c r="I94" s="17" t="n">
        <f aca="false">IFERROR(INDEX(Plan!$E$38:$E$51,MATCH(B94&amp;"|"&amp;D94&amp;"|"&amp;E94,Plan!$G$38:$G$51,0)),INDEX(Plan!$E$38:$E$51,MATCH(B94&amp;"|"&amp;D94&amp;"|All",Plan!$G$38:$G$51,0)))</f>
        <v>180</v>
      </c>
      <c r="J94" s="8" t="str">
        <f aca="false">IF(F94="","MISSING",IF(AND(F94&gt;=H94,F94&lt;=I94),"OK","OUT"))</f>
        <v>OUT</v>
      </c>
      <c r="K94" s="15" t="s">
        <v>107</v>
      </c>
    </row>
    <row r="95" customFormat="false" ht="15" hidden="false" customHeight="false" outlineLevel="0" collapsed="false">
      <c r="A95" s="14" t="n">
        <v>46295</v>
      </c>
      <c r="B95" s="15" t="s">
        <v>64</v>
      </c>
      <c r="C95" s="21" t="n">
        <v>0.520833333333333</v>
      </c>
      <c r="D95" s="15" t="s">
        <v>79</v>
      </c>
      <c r="E95" s="15" t="s">
        <v>62</v>
      </c>
      <c r="F95" s="16" t="n">
        <v>1200</v>
      </c>
      <c r="G95" s="17" t="str">
        <f aca="false">IFERROR(INDEX(Plan!$F$38:$F$51,MATCH(B95&amp;"|"&amp;D95&amp;"|"&amp;E95,Plan!$G$38:$G$51,0)),INDEX(Plan!$F$38:$F$51,MATCH(B95&amp;"|"&amp;D95&amp;"|All",Plan!$G$38:$G$51,0)))</f>
        <v>kg/hr</v>
      </c>
      <c r="H95" s="17" t="n">
        <f aca="false">IFERROR(INDEX(Plan!$D$38:$D$51,MATCH(B95&amp;"|"&amp;D95&amp;"|"&amp;E95,Plan!$G$38:$G$51,0)),INDEX(Plan!$D$38:$D$51,MATCH(B95&amp;"|"&amp;D95&amp;"|All",Plan!$G$38:$G$51,0)))</f>
        <v>1000</v>
      </c>
      <c r="I95" s="17" t="n">
        <f aca="false">IFERROR(INDEX(Plan!$E$38:$E$51,MATCH(B95&amp;"|"&amp;D95&amp;"|"&amp;E95,Plan!$G$38:$G$51,0)),INDEX(Plan!$E$38:$E$51,MATCH(B95&amp;"|"&amp;D95&amp;"|All",Plan!$G$38:$G$51,0)))</f>
        <v>1060</v>
      </c>
      <c r="J95" s="8" t="str">
        <f aca="false">IF(F95="","MISSING",IF(AND(F95&gt;=H95,F95&lt;=I95),"OK","OUT"))</f>
        <v>OUT</v>
      </c>
      <c r="K95" s="15" t="s">
        <v>107</v>
      </c>
    </row>
    <row r="96" customFormat="false" ht="15" hidden="false" customHeight="false" outlineLevel="0" collapsed="false">
      <c r="A96" s="14" t="n">
        <v>46295</v>
      </c>
      <c r="B96" s="15" t="s">
        <v>64</v>
      </c>
      <c r="C96" s="21" t="n">
        <v>0.520833333333333</v>
      </c>
      <c r="D96" s="15" t="s">
        <v>80</v>
      </c>
      <c r="E96" s="15" t="s">
        <v>62</v>
      </c>
      <c r="F96" s="23" t="n">
        <v>99.2</v>
      </c>
      <c r="G96" s="17" t="str">
        <f aca="false">IFERROR(INDEX(Plan!$F$38:$F$51,MATCH(B96&amp;"|"&amp;D96&amp;"|"&amp;E96,Plan!$G$38:$G$51,0)),INDEX(Plan!$F$38:$F$51,MATCH(B96&amp;"|"&amp;D96&amp;"|All",Plan!$G$38:$G$51,0)))</f>
        <v>A</v>
      </c>
      <c r="H96" s="17" t="n">
        <f aca="false">IFERROR(INDEX(Plan!$D$38:$D$51,MATCH(B96&amp;"|"&amp;D96&amp;"|"&amp;E96,Plan!$G$38:$G$51,0)),INDEX(Plan!$D$38:$D$51,MATCH(B96&amp;"|"&amp;D96&amp;"|All",Plan!$G$38:$G$51,0)))</f>
        <v>80</v>
      </c>
      <c r="I96" s="17" t="n">
        <f aca="false">IFERROR(INDEX(Plan!$E$38:$E$51,MATCH(B96&amp;"|"&amp;D96&amp;"|"&amp;E96,Plan!$G$38:$G$51,0)),INDEX(Plan!$E$38:$E$51,MATCH(B96&amp;"|"&amp;D96&amp;"|All",Plan!$G$38:$G$51,0)))</f>
        <v>95</v>
      </c>
      <c r="J96" s="8" t="str">
        <f aca="false">IF(F96="","MISSING",IF(AND(F96&gt;=H96,F96&lt;=I96),"OK","OUT"))</f>
        <v>OUT</v>
      </c>
      <c r="K96" s="15" t="s">
        <v>107</v>
      </c>
    </row>
    <row r="97" customFormat="false" ht="15" hidden="false" customHeight="false" outlineLevel="0" collapsed="false">
      <c r="A97" s="14" t="n">
        <v>46295</v>
      </c>
      <c r="B97" s="15" t="s">
        <v>64</v>
      </c>
      <c r="C97" s="21" t="n">
        <v>0.520833333333333</v>
      </c>
      <c r="D97" s="22" t="s">
        <v>82</v>
      </c>
      <c r="E97" s="15" t="s">
        <v>62</v>
      </c>
      <c r="F97" s="23" t="n">
        <v>47.9</v>
      </c>
      <c r="G97" s="17" t="str">
        <f aca="false">IFERROR(INDEX(Plan!$F$38:$F$51,MATCH(B97&amp;"|"&amp;D97&amp;"|"&amp;E97,Plan!$G$38:$G$51,0)),INDEX(Plan!$F$38:$F$51,MATCH(B97&amp;"|"&amp;D97&amp;"|All",Plan!$G$38:$G$51,0)))</f>
        <v>°C</v>
      </c>
      <c r="H97" s="17" t="n">
        <f aca="false">IFERROR(INDEX(Plan!$D$38:$D$51,MATCH(B97&amp;"|"&amp;D97&amp;"|"&amp;E97,Plan!$G$38:$G$51,0)),INDEX(Plan!$D$38:$D$51,MATCH(B97&amp;"|"&amp;D97&amp;"|All",Plan!$G$38:$G$51,0)))</f>
        <v>30</v>
      </c>
      <c r="I97" s="17" t="n">
        <f aca="false">IFERROR(INDEX(Plan!$E$38:$E$51,MATCH(B97&amp;"|"&amp;D97&amp;"|"&amp;E97,Plan!$G$38:$G$51,0)),INDEX(Plan!$E$38:$E$51,MATCH(B97&amp;"|"&amp;D97&amp;"|All",Plan!$G$38:$G$51,0)))</f>
        <v>42</v>
      </c>
      <c r="J97" s="8" t="str">
        <f aca="false">IF(F97="","MISSING",IF(AND(F97&gt;=H97,F97&lt;=I97),"OK","OUT"))</f>
        <v>OUT</v>
      </c>
      <c r="K97" s="15" t="s">
        <v>107</v>
      </c>
    </row>
    <row r="98" customFormat="false" ht="15" hidden="false" customHeight="false" outlineLevel="0" collapsed="false">
      <c r="A98" s="14" t="n">
        <v>46295</v>
      </c>
      <c r="B98" s="15" t="s">
        <v>64</v>
      </c>
      <c r="C98" s="21" t="n">
        <v>0.520833333333333</v>
      </c>
      <c r="D98" s="22" t="s">
        <v>84</v>
      </c>
      <c r="E98" s="15" t="s">
        <v>62</v>
      </c>
      <c r="F98" s="23" t="n">
        <v>86.7</v>
      </c>
      <c r="G98" s="17" t="str">
        <f aca="false">IFERROR(INDEX(Plan!$F$38:$F$51,MATCH(B98&amp;"|"&amp;D98&amp;"|"&amp;E98,Plan!$G$38:$G$51,0)),INDEX(Plan!$F$38:$F$51,MATCH(B98&amp;"|"&amp;D98&amp;"|All",Plan!$G$38:$G$51,0)))</f>
        <v>%</v>
      </c>
      <c r="H98" s="17" t="n">
        <f aca="false">IFERROR(INDEX(Plan!$D$38:$D$51,MATCH(B98&amp;"|"&amp;D98&amp;"|"&amp;E98,Plan!$G$38:$G$51,0)),INDEX(Plan!$D$38:$D$51,MATCH(B98&amp;"|"&amp;D98&amp;"|All",Plan!$G$38:$G$51,0)))</f>
        <v>95</v>
      </c>
      <c r="I98" s="17" t="n">
        <f aca="false">IFERROR(INDEX(Plan!$E$38:$E$51,MATCH(B98&amp;"|"&amp;D98&amp;"|"&amp;E98,Plan!$G$38:$G$51,0)),INDEX(Plan!$E$38:$E$51,MATCH(B98&amp;"|"&amp;D98&amp;"|All",Plan!$G$38:$G$51,0)))</f>
        <v>100</v>
      </c>
      <c r="J98" s="8" t="str">
        <f aca="false">IF(F98="","MISSING",IF(AND(F98&gt;=H98,F98&lt;=I98),"OK","OUT"))</f>
        <v>OUT</v>
      </c>
      <c r="K98" s="15" t="s">
        <v>107</v>
      </c>
    </row>
    <row r="99" customFormat="false" ht="15" hidden="false" customHeight="false" outlineLevel="0" collapsed="false">
      <c r="A99" s="14" t="n">
        <v>46295</v>
      </c>
      <c r="B99" s="15" t="s">
        <v>64</v>
      </c>
      <c r="C99" s="21" t="n">
        <v>0.520833333333333</v>
      </c>
      <c r="D99" s="15" t="s">
        <v>85</v>
      </c>
      <c r="E99" s="15" t="s">
        <v>62</v>
      </c>
      <c r="F99" s="23" t="n">
        <v>415.2</v>
      </c>
      <c r="G99" s="17" t="str">
        <f aca="false">IFERROR(INDEX(Plan!$F$38:$F$51,MATCH(B99&amp;"|"&amp;D99&amp;"|"&amp;E99,Plan!$G$38:$G$51,0)),INDEX(Plan!$F$38:$F$51,MATCH(B99&amp;"|"&amp;D99&amp;"|All",Plan!$G$38:$G$51,0)))</f>
        <v>hours</v>
      </c>
      <c r="H99" s="17" t="n">
        <f aca="false">IFERROR(INDEX(Plan!$D$38:$D$51,MATCH(B99&amp;"|"&amp;D99&amp;"|"&amp;E99,Plan!$G$38:$G$51,0)),INDEX(Plan!$D$38:$D$51,MATCH(B99&amp;"|"&amp;D99&amp;"|All",Plan!$G$38:$G$51,0)))</f>
        <v>0</v>
      </c>
      <c r="I99" s="17" t="n">
        <f aca="false">IFERROR(INDEX(Plan!$E$38:$E$51,MATCH(B99&amp;"|"&amp;D99&amp;"|"&amp;E99,Plan!$G$38:$G$51,0)),INDEX(Plan!$E$38:$E$51,MATCH(B99&amp;"|"&amp;D99&amp;"|All",Plan!$G$38:$G$51,0)))</f>
        <v>400</v>
      </c>
      <c r="J99" s="8" t="str">
        <f aca="false">IF(F99="","MISSING",IF(AND(F99&gt;=H99,F99&lt;=I99),"OK","OUT"))</f>
        <v>OUT</v>
      </c>
      <c r="K99" s="15" t="s">
        <v>107</v>
      </c>
    </row>
    <row r="100" customFormat="false" ht="15" hidden="false" customHeight="false" outlineLevel="0" collapsed="false">
      <c r="A100" s="14" t="n">
        <v>46295</v>
      </c>
      <c r="B100" s="15" t="s">
        <v>64</v>
      </c>
      <c r="C100" s="21" t="n">
        <v>0.541666666666667</v>
      </c>
      <c r="D100" s="15" t="s">
        <v>79</v>
      </c>
      <c r="E100" s="15" t="s">
        <v>62</v>
      </c>
      <c r="F100" s="16" t="n">
        <v>1200</v>
      </c>
      <c r="G100" s="17" t="str">
        <f aca="false">IFERROR(INDEX(Plan!$F$38:$F$51,MATCH(B100&amp;"|"&amp;D100&amp;"|"&amp;E100,Plan!$G$38:$G$51,0)),INDEX(Plan!$F$38:$F$51,MATCH(B100&amp;"|"&amp;D100&amp;"|All",Plan!$G$38:$G$51,0)))</f>
        <v>kg/hr</v>
      </c>
      <c r="H100" s="17" t="n">
        <f aca="false">IFERROR(INDEX(Plan!$D$38:$D$51,MATCH(B100&amp;"|"&amp;D100&amp;"|"&amp;E100,Plan!$G$38:$G$51,0)),INDEX(Plan!$D$38:$D$51,MATCH(B100&amp;"|"&amp;D100&amp;"|All",Plan!$G$38:$G$51,0)))</f>
        <v>1000</v>
      </c>
      <c r="I100" s="17" t="n">
        <f aca="false">IFERROR(INDEX(Plan!$E$38:$E$51,MATCH(B100&amp;"|"&amp;D100&amp;"|"&amp;E100,Plan!$G$38:$G$51,0)),INDEX(Plan!$E$38:$E$51,MATCH(B100&amp;"|"&amp;D100&amp;"|All",Plan!$G$38:$G$51,0)))</f>
        <v>1060</v>
      </c>
      <c r="J100" s="8" t="str">
        <f aca="false">IF(F100="","MISSING",IF(AND(F100&gt;=H100,F100&lt;=I100),"OK","OUT"))</f>
        <v>OUT</v>
      </c>
      <c r="K100" s="15" t="s">
        <v>107</v>
      </c>
    </row>
    <row r="101" customFormat="false" ht="15" hidden="false" customHeight="false" outlineLevel="0" collapsed="false">
      <c r="A101" s="14" t="n">
        <v>46295</v>
      </c>
      <c r="B101" s="15" t="s">
        <v>64</v>
      </c>
      <c r="C101" s="21" t="n">
        <v>0.541666666666667</v>
      </c>
      <c r="D101" s="15" t="s">
        <v>80</v>
      </c>
      <c r="E101" s="15" t="s">
        <v>62</v>
      </c>
      <c r="F101" s="23" t="n">
        <v>101.4</v>
      </c>
      <c r="G101" s="17" t="str">
        <f aca="false">IFERROR(INDEX(Plan!$F$38:$F$51,MATCH(B101&amp;"|"&amp;D101&amp;"|"&amp;E101,Plan!$G$38:$G$51,0)),INDEX(Plan!$F$38:$F$51,MATCH(B101&amp;"|"&amp;D101&amp;"|All",Plan!$G$38:$G$51,0)))</f>
        <v>A</v>
      </c>
      <c r="H101" s="17" t="n">
        <f aca="false">IFERROR(INDEX(Plan!$D$38:$D$51,MATCH(B101&amp;"|"&amp;D101&amp;"|"&amp;E101,Plan!$G$38:$G$51,0)),INDEX(Plan!$D$38:$D$51,MATCH(B101&amp;"|"&amp;D101&amp;"|All",Plan!$G$38:$G$51,0)))</f>
        <v>80</v>
      </c>
      <c r="I101" s="17" t="n">
        <f aca="false">IFERROR(INDEX(Plan!$E$38:$E$51,MATCH(B101&amp;"|"&amp;D101&amp;"|"&amp;E101,Plan!$G$38:$G$51,0)),INDEX(Plan!$E$38:$E$51,MATCH(B101&amp;"|"&amp;D101&amp;"|All",Plan!$G$38:$G$51,0)))</f>
        <v>95</v>
      </c>
      <c r="J101" s="8" t="str">
        <f aca="false">IF(F101="","MISSING",IF(AND(F101&gt;=H101,F101&lt;=I101),"OK","OUT"))</f>
        <v>OUT</v>
      </c>
      <c r="K101" s="15" t="s">
        <v>107</v>
      </c>
    </row>
    <row r="102" customFormat="false" ht="15" hidden="false" customHeight="false" outlineLevel="0" collapsed="false">
      <c r="A102" s="14" t="n">
        <v>46295</v>
      </c>
      <c r="B102" s="15" t="s">
        <v>64</v>
      </c>
      <c r="C102" s="21" t="n">
        <v>0.541666666666667</v>
      </c>
      <c r="D102" s="22" t="s">
        <v>82</v>
      </c>
      <c r="E102" s="15" t="s">
        <v>62</v>
      </c>
      <c r="F102" s="23" t="n">
        <v>47.9</v>
      </c>
      <c r="G102" s="17" t="str">
        <f aca="false">IFERROR(INDEX(Plan!$F$38:$F$51,MATCH(B102&amp;"|"&amp;D102&amp;"|"&amp;E102,Plan!$G$38:$G$51,0)),INDEX(Plan!$F$38:$F$51,MATCH(B102&amp;"|"&amp;D102&amp;"|All",Plan!$G$38:$G$51,0)))</f>
        <v>°C</v>
      </c>
      <c r="H102" s="17" t="n">
        <f aca="false">IFERROR(INDEX(Plan!$D$38:$D$51,MATCH(B102&amp;"|"&amp;D102&amp;"|"&amp;E102,Plan!$G$38:$G$51,0)),INDEX(Plan!$D$38:$D$51,MATCH(B102&amp;"|"&amp;D102&amp;"|All",Plan!$G$38:$G$51,0)))</f>
        <v>30</v>
      </c>
      <c r="I102" s="17" t="n">
        <f aca="false">IFERROR(INDEX(Plan!$E$38:$E$51,MATCH(B102&amp;"|"&amp;D102&amp;"|"&amp;E102,Plan!$G$38:$G$51,0)),INDEX(Plan!$E$38:$E$51,MATCH(B102&amp;"|"&amp;D102&amp;"|All",Plan!$G$38:$G$51,0)))</f>
        <v>42</v>
      </c>
      <c r="J102" s="8" t="str">
        <f aca="false">IF(F102="","MISSING",IF(AND(F102&gt;=H102,F102&lt;=I102),"OK","OUT"))</f>
        <v>OUT</v>
      </c>
      <c r="K102" s="15" t="s">
        <v>107</v>
      </c>
    </row>
    <row r="103" customFormat="false" ht="15" hidden="false" customHeight="false" outlineLevel="0" collapsed="false">
      <c r="A103" s="14" t="n">
        <v>46295</v>
      </c>
      <c r="B103" s="15" t="s">
        <v>64</v>
      </c>
      <c r="C103" s="21" t="n">
        <v>0.541666666666667</v>
      </c>
      <c r="D103" s="22" t="s">
        <v>84</v>
      </c>
      <c r="E103" s="15" t="s">
        <v>62</v>
      </c>
      <c r="F103" s="23" t="n">
        <v>84.5</v>
      </c>
      <c r="G103" s="17" t="str">
        <f aca="false">IFERROR(INDEX(Plan!$F$38:$F$51,MATCH(B103&amp;"|"&amp;D103&amp;"|"&amp;E103,Plan!$G$38:$G$51,0)),INDEX(Plan!$F$38:$F$51,MATCH(B103&amp;"|"&amp;D103&amp;"|All",Plan!$G$38:$G$51,0)))</f>
        <v>%</v>
      </c>
      <c r="H103" s="17" t="n">
        <f aca="false">IFERROR(INDEX(Plan!$D$38:$D$51,MATCH(B103&amp;"|"&amp;D103&amp;"|"&amp;E103,Plan!$G$38:$G$51,0)),INDEX(Plan!$D$38:$D$51,MATCH(B103&amp;"|"&amp;D103&amp;"|All",Plan!$G$38:$G$51,0)))</f>
        <v>95</v>
      </c>
      <c r="I103" s="17" t="n">
        <f aca="false">IFERROR(INDEX(Plan!$E$38:$E$51,MATCH(B103&amp;"|"&amp;D103&amp;"|"&amp;E103,Plan!$G$38:$G$51,0)),INDEX(Plan!$E$38:$E$51,MATCH(B103&amp;"|"&amp;D103&amp;"|All",Plan!$G$38:$G$51,0)))</f>
        <v>100</v>
      </c>
      <c r="J103" s="8" t="str">
        <f aca="false">IF(F103="","MISSING",IF(AND(F103&gt;=H103,F103&lt;=I103),"OK","OUT"))</f>
        <v>OUT</v>
      </c>
      <c r="K103" s="15" t="s">
        <v>107</v>
      </c>
    </row>
    <row r="104" customFormat="false" ht="15" hidden="false" customHeight="false" outlineLevel="0" collapsed="false">
      <c r="A104" s="14" t="n">
        <v>46295</v>
      </c>
      <c r="B104" s="15" t="s">
        <v>64</v>
      </c>
      <c r="C104" s="21" t="n">
        <v>0.541666666666667</v>
      </c>
      <c r="D104" s="15" t="s">
        <v>85</v>
      </c>
      <c r="E104" s="15" t="s">
        <v>62</v>
      </c>
      <c r="F104" s="23" t="n">
        <v>415.8</v>
      </c>
      <c r="G104" s="17" t="str">
        <f aca="false">IFERROR(INDEX(Plan!$F$38:$F$51,MATCH(B104&amp;"|"&amp;D104&amp;"|"&amp;E104,Plan!$G$38:$G$51,0)),INDEX(Plan!$F$38:$F$51,MATCH(B104&amp;"|"&amp;D104&amp;"|All",Plan!$G$38:$G$51,0)))</f>
        <v>hours</v>
      </c>
      <c r="H104" s="17" t="n">
        <f aca="false">IFERROR(INDEX(Plan!$D$38:$D$51,MATCH(B104&amp;"|"&amp;D104&amp;"|"&amp;E104,Plan!$G$38:$G$51,0)),INDEX(Plan!$D$38:$D$51,MATCH(B104&amp;"|"&amp;D104&amp;"|All",Plan!$G$38:$G$51,0)))</f>
        <v>0</v>
      </c>
      <c r="I104" s="17" t="n">
        <f aca="false">IFERROR(INDEX(Plan!$E$38:$E$51,MATCH(B104&amp;"|"&amp;D104&amp;"|"&amp;E104,Plan!$G$38:$G$51,0)),INDEX(Plan!$E$38:$E$51,MATCH(B104&amp;"|"&amp;D104&amp;"|All",Plan!$G$38:$G$51,0)))</f>
        <v>400</v>
      </c>
      <c r="J104" s="8" t="str">
        <f aca="false">IF(F104="","MISSING",IF(AND(F104&gt;=H104,F104&lt;=I104),"OK","OUT"))</f>
        <v>OUT</v>
      </c>
      <c r="K104" s="15" t="s">
        <v>107</v>
      </c>
    </row>
    <row r="105" customFormat="false" ht="15" hidden="false" customHeight="false" outlineLevel="0" collapsed="false">
      <c r="A105" s="14" t="n">
        <v>46295</v>
      </c>
      <c r="B105" s="15" t="s">
        <v>64</v>
      </c>
      <c r="C105" s="21" t="n">
        <v>0.541666666666667</v>
      </c>
      <c r="D105" s="22" t="s">
        <v>87</v>
      </c>
      <c r="E105" s="15" t="s">
        <v>62</v>
      </c>
      <c r="F105" s="16" t="n">
        <v>112</v>
      </c>
      <c r="G105" s="17" t="str">
        <f aca="false">IFERROR(INDEX(Plan!$F$38:$F$51,MATCH(B105&amp;"|"&amp;D105&amp;"|"&amp;E105,Plan!$G$38:$G$51,0)),INDEX(Plan!$F$38:$F$51,MATCH(B105&amp;"|"&amp;D105&amp;"|All",Plan!$G$38:$G$51,0)))</f>
        <v>ASTA</v>
      </c>
      <c r="H105" s="17" t="n">
        <f aca="false">IFERROR(INDEX(Plan!$D$38:$D$51,MATCH(B105&amp;"|"&amp;D105&amp;"|"&amp;E105,Plan!$G$38:$G$51,0)),INDEX(Plan!$D$38:$D$51,MATCH(B105&amp;"|"&amp;D105&amp;"|All",Plan!$G$38:$G$51,0)))</f>
        <v>120</v>
      </c>
      <c r="I105" s="17" t="n">
        <f aca="false">IFERROR(INDEX(Plan!$E$38:$E$51,MATCH(B105&amp;"|"&amp;D105&amp;"|"&amp;E105,Plan!$G$38:$G$51,0)),INDEX(Plan!$E$38:$E$51,MATCH(B105&amp;"|"&amp;D105&amp;"|All",Plan!$G$38:$G$51,0)))</f>
        <v>180</v>
      </c>
      <c r="J105" s="8" t="str">
        <f aca="false">IF(F105="","MISSING",IF(AND(F105&gt;=H105,F105&lt;=I105),"OK","OUT"))</f>
        <v>OUT</v>
      </c>
      <c r="K105" s="15" t="s">
        <v>107</v>
      </c>
    </row>
    <row r="106" customFormat="false" ht="15" hidden="false" customHeight="false" outlineLevel="0" collapsed="false">
      <c r="A106" s="14" t="n">
        <v>46295</v>
      </c>
      <c r="B106" s="15" t="s">
        <v>64</v>
      </c>
      <c r="C106" s="21" t="n">
        <v>0.583333333333333</v>
      </c>
      <c r="D106" s="15" t="s">
        <v>79</v>
      </c>
      <c r="E106" s="15" t="s">
        <v>62</v>
      </c>
      <c r="F106" s="16" t="n">
        <v>1030</v>
      </c>
      <c r="G106" s="17" t="str">
        <f aca="false">IFERROR(INDEX(Plan!$F$38:$F$51,MATCH(B106&amp;"|"&amp;D106&amp;"|"&amp;E106,Plan!$G$38:$G$51,0)),INDEX(Plan!$F$38:$F$51,MATCH(B106&amp;"|"&amp;D106&amp;"|All",Plan!$G$38:$G$51,0)))</f>
        <v>kg/hr</v>
      </c>
      <c r="H106" s="17" t="n">
        <f aca="false">IFERROR(INDEX(Plan!$D$38:$D$51,MATCH(B106&amp;"|"&amp;D106&amp;"|"&amp;E106,Plan!$G$38:$G$51,0)),INDEX(Plan!$D$38:$D$51,MATCH(B106&amp;"|"&amp;D106&amp;"|All",Plan!$G$38:$G$51,0)))</f>
        <v>1000</v>
      </c>
      <c r="I106" s="17" t="n">
        <f aca="false">IFERROR(INDEX(Plan!$E$38:$E$51,MATCH(B106&amp;"|"&amp;D106&amp;"|"&amp;E106,Plan!$G$38:$G$51,0)),INDEX(Plan!$E$38:$E$51,MATCH(B106&amp;"|"&amp;D106&amp;"|All",Plan!$G$38:$G$51,0)))</f>
        <v>1060</v>
      </c>
      <c r="J106" s="8" t="str">
        <f aca="false">IF(F106="","MISSING",IF(AND(F106&gt;=H106,F106&lt;=I106),"OK","OUT"))</f>
        <v>OK</v>
      </c>
      <c r="K106" s="15" t="s">
        <v>107</v>
      </c>
    </row>
    <row r="107" customFormat="false" ht="15" hidden="false" customHeight="false" outlineLevel="0" collapsed="false">
      <c r="A107" s="14" t="n">
        <v>46295</v>
      </c>
      <c r="B107" s="15" t="s">
        <v>64</v>
      </c>
      <c r="C107" s="21" t="n">
        <v>0.583333333333333</v>
      </c>
      <c r="D107" s="15" t="s">
        <v>80</v>
      </c>
      <c r="E107" s="15" t="s">
        <v>62</v>
      </c>
      <c r="F107" s="23" t="n">
        <v>91.2</v>
      </c>
      <c r="G107" s="17" t="str">
        <f aca="false">IFERROR(INDEX(Plan!$F$38:$F$51,MATCH(B107&amp;"|"&amp;D107&amp;"|"&amp;E107,Plan!$G$38:$G$51,0)),INDEX(Plan!$F$38:$F$51,MATCH(B107&amp;"|"&amp;D107&amp;"|All",Plan!$G$38:$G$51,0)))</f>
        <v>A</v>
      </c>
      <c r="H107" s="17" t="n">
        <f aca="false">IFERROR(INDEX(Plan!$D$38:$D$51,MATCH(B107&amp;"|"&amp;D107&amp;"|"&amp;E107,Plan!$G$38:$G$51,0)),INDEX(Plan!$D$38:$D$51,MATCH(B107&amp;"|"&amp;D107&amp;"|All",Plan!$G$38:$G$51,0)))</f>
        <v>80</v>
      </c>
      <c r="I107" s="17" t="n">
        <f aca="false">IFERROR(INDEX(Plan!$E$38:$E$51,MATCH(B107&amp;"|"&amp;D107&amp;"|"&amp;E107,Plan!$G$38:$G$51,0)),INDEX(Plan!$E$38:$E$51,MATCH(B107&amp;"|"&amp;D107&amp;"|All",Plan!$G$38:$G$51,0)))</f>
        <v>95</v>
      </c>
      <c r="J107" s="8" t="str">
        <f aca="false">IF(F107="","MISSING",IF(AND(F107&gt;=H107,F107&lt;=I107),"OK","OUT"))</f>
        <v>OK</v>
      </c>
      <c r="K107" s="15" t="s">
        <v>107</v>
      </c>
    </row>
    <row r="108" customFormat="false" ht="15" hidden="false" customHeight="false" outlineLevel="0" collapsed="false">
      <c r="A108" s="14" t="n">
        <v>46295</v>
      </c>
      <c r="B108" s="15" t="s">
        <v>64</v>
      </c>
      <c r="C108" s="21" t="n">
        <v>0.583333333333333</v>
      </c>
      <c r="D108" s="22" t="s">
        <v>82</v>
      </c>
      <c r="E108" s="15" t="s">
        <v>62</v>
      </c>
      <c r="F108" s="23" t="n">
        <v>38.6</v>
      </c>
      <c r="G108" s="17" t="str">
        <f aca="false">IFERROR(INDEX(Plan!$F$38:$F$51,MATCH(B108&amp;"|"&amp;D108&amp;"|"&amp;E108,Plan!$G$38:$G$51,0)),INDEX(Plan!$F$38:$F$51,MATCH(B108&amp;"|"&amp;D108&amp;"|All",Plan!$G$38:$G$51,0)))</f>
        <v>°C</v>
      </c>
      <c r="H108" s="17" t="n">
        <f aca="false">IFERROR(INDEX(Plan!$D$38:$D$51,MATCH(B108&amp;"|"&amp;D108&amp;"|"&amp;E108,Plan!$G$38:$G$51,0)),INDEX(Plan!$D$38:$D$51,MATCH(B108&amp;"|"&amp;D108&amp;"|All",Plan!$G$38:$G$51,0)))</f>
        <v>30</v>
      </c>
      <c r="I108" s="17" t="n">
        <f aca="false">IFERROR(INDEX(Plan!$E$38:$E$51,MATCH(B108&amp;"|"&amp;D108&amp;"|"&amp;E108,Plan!$G$38:$G$51,0)),INDEX(Plan!$E$38:$E$51,MATCH(B108&amp;"|"&amp;D108&amp;"|All",Plan!$G$38:$G$51,0)))</f>
        <v>42</v>
      </c>
      <c r="J108" s="8" t="str">
        <f aca="false">IF(F108="","MISSING",IF(AND(F108&gt;=H108,F108&lt;=I108),"OK","OUT"))</f>
        <v>OK</v>
      </c>
      <c r="K108" s="15" t="s">
        <v>107</v>
      </c>
    </row>
    <row r="109" customFormat="false" ht="15" hidden="false" customHeight="false" outlineLevel="0" collapsed="false">
      <c r="A109" s="14" t="n">
        <v>46295</v>
      </c>
      <c r="B109" s="15" t="s">
        <v>64</v>
      </c>
      <c r="C109" s="21" t="n">
        <v>0.583333333333333</v>
      </c>
      <c r="D109" s="22" t="s">
        <v>84</v>
      </c>
      <c r="E109" s="15" t="s">
        <v>62</v>
      </c>
      <c r="F109" s="23" t="n">
        <v>84.5</v>
      </c>
      <c r="G109" s="17" t="str">
        <f aca="false">IFERROR(INDEX(Plan!$F$38:$F$51,MATCH(B109&amp;"|"&amp;D109&amp;"|"&amp;E109,Plan!$G$38:$G$51,0)),INDEX(Plan!$F$38:$F$51,MATCH(B109&amp;"|"&amp;D109&amp;"|All",Plan!$G$38:$G$51,0)))</f>
        <v>%</v>
      </c>
      <c r="H109" s="17" t="n">
        <f aca="false">IFERROR(INDEX(Plan!$D$38:$D$51,MATCH(B109&amp;"|"&amp;D109&amp;"|"&amp;E109,Plan!$G$38:$G$51,0)),INDEX(Plan!$D$38:$D$51,MATCH(B109&amp;"|"&amp;D109&amp;"|All",Plan!$G$38:$G$51,0)))</f>
        <v>95</v>
      </c>
      <c r="I109" s="17" t="n">
        <f aca="false">IFERROR(INDEX(Plan!$E$38:$E$51,MATCH(B109&amp;"|"&amp;D109&amp;"|"&amp;E109,Plan!$G$38:$G$51,0)),INDEX(Plan!$E$38:$E$51,MATCH(B109&amp;"|"&amp;D109&amp;"|All",Plan!$G$38:$G$51,0)))</f>
        <v>100</v>
      </c>
      <c r="J109" s="8" t="str">
        <f aca="false">IF(F109="","MISSING",IF(AND(F109&gt;=H109,F109&lt;=I109),"OK","OUT"))</f>
        <v>OUT</v>
      </c>
      <c r="K109" s="15" t="s">
        <v>107</v>
      </c>
    </row>
    <row r="110" customFormat="false" ht="15" hidden="false" customHeight="false" outlineLevel="0" collapsed="false">
      <c r="A110" s="14" t="n">
        <v>46295</v>
      </c>
      <c r="B110" s="15" t="s">
        <v>64</v>
      </c>
      <c r="C110" s="21" t="n">
        <v>0.583333333333333</v>
      </c>
      <c r="D110" s="15" t="s">
        <v>85</v>
      </c>
      <c r="E110" s="15" t="s">
        <v>62</v>
      </c>
      <c r="F110" s="23" t="n">
        <v>416.2</v>
      </c>
      <c r="G110" s="17" t="str">
        <f aca="false">IFERROR(INDEX(Plan!$F$38:$F$51,MATCH(B110&amp;"|"&amp;D110&amp;"|"&amp;E110,Plan!$G$38:$G$51,0)),INDEX(Plan!$F$38:$F$51,MATCH(B110&amp;"|"&amp;D110&amp;"|All",Plan!$G$38:$G$51,0)))</f>
        <v>hours</v>
      </c>
      <c r="H110" s="17" t="n">
        <f aca="false">IFERROR(INDEX(Plan!$D$38:$D$51,MATCH(B110&amp;"|"&amp;D110&amp;"|"&amp;E110,Plan!$G$38:$G$51,0)),INDEX(Plan!$D$38:$D$51,MATCH(B110&amp;"|"&amp;D110&amp;"|All",Plan!$G$38:$G$51,0)))</f>
        <v>0</v>
      </c>
      <c r="I110" s="17" t="n">
        <f aca="false">IFERROR(INDEX(Plan!$E$38:$E$51,MATCH(B110&amp;"|"&amp;D110&amp;"|"&amp;E110,Plan!$G$38:$G$51,0)),INDEX(Plan!$E$38:$E$51,MATCH(B110&amp;"|"&amp;D110&amp;"|All",Plan!$G$38:$G$51,0)))</f>
        <v>400</v>
      </c>
      <c r="J110" s="8" t="str">
        <f aca="false">IF(F110="","MISSING",IF(AND(F110&gt;=H110,F110&lt;=I110),"OK","OUT"))</f>
        <v>OUT</v>
      </c>
      <c r="K110" s="15" t="s">
        <v>107</v>
      </c>
    </row>
    <row r="111" customFormat="false" ht="15" hidden="false" customHeight="false" outlineLevel="0" collapsed="false">
      <c r="A111" s="14" t="n">
        <v>46295</v>
      </c>
      <c r="B111" s="15" t="s">
        <v>64</v>
      </c>
      <c r="C111" s="21" t="n">
        <v>0.583333333333333</v>
      </c>
      <c r="D111" s="22" t="s">
        <v>87</v>
      </c>
      <c r="E111" s="15" t="s">
        <v>62</v>
      </c>
      <c r="F111" s="16" t="n">
        <v>135</v>
      </c>
      <c r="G111" s="17" t="str">
        <f aca="false">IFERROR(INDEX(Plan!$F$38:$F$51,MATCH(B111&amp;"|"&amp;D111&amp;"|"&amp;E111,Plan!$G$38:$G$51,0)),INDEX(Plan!$F$38:$F$51,MATCH(B111&amp;"|"&amp;D111&amp;"|All",Plan!$G$38:$G$51,0)))</f>
        <v>ASTA</v>
      </c>
      <c r="H111" s="17" t="n">
        <f aca="false">IFERROR(INDEX(Plan!$D$38:$D$51,MATCH(B111&amp;"|"&amp;D111&amp;"|"&amp;E111,Plan!$G$38:$G$51,0)),INDEX(Plan!$D$38:$D$51,MATCH(B111&amp;"|"&amp;D111&amp;"|All",Plan!$G$38:$G$51,0)))</f>
        <v>120</v>
      </c>
      <c r="I111" s="17" t="n">
        <f aca="false">IFERROR(INDEX(Plan!$E$38:$E$51,MATCH(B111&amp;"|"&amp;D111&amp;"|"&amp;E111,Plan!$G$38:$G$51,0)),INDEX(Plan!$E$38:$E$51,MATCH(B111&amp;"|"&amp;D111&amp;"|All",Plan!$G$38:$G$51,0)))</f>
        <v>180</v>
      </c>
      <c r="J111" s="8" t="str">
        <f aca="false">IF(F111="","MISSING",IF(AND(F111&gt;=H111,F111&lt;=I111),"OK","OUT"))</f>
        <v>OK</v>
      </c>
      <c r="K111" s="15" t="s">
        <v>107</v>
      </c>
    </row>
    <row r="112" customFormat="false" ht="15" hidden="false" customHeight="false" outlineLevel="0" collapsed="false">
      <c r="A112" s="14" t="n">
        <v>46295</v>
      </c>
      <c r="B112" s="15" t="s">
        <v>64</v>
      </c>
      <c r="C112" s="21" t="n">
        <v>0.604166666666667</v>
      </c>
      <c r="D112" s="15" t="s">
        <v>79</v>
      </c>
      <c r="E112" s="15" t="s">
        <v>62</v>
      </c>
      <c r="F112" s="16" t="n">
        <v>1030</v>
      </c>
      <c r="G112" s="17" t="str">
        <f aca="false">IFERROR(INDEX(Plan!$F$38:$F$51,MATCH(B112&amp;"|"&amp;D112&amp;"|"&amp;E112,Plan!$G$38:$G$51,0)),INDEX(Plan!$F$38:$F$51,MATCH(B112&amp;"|"&amp;D112&amp;"|All",Plan!$G$38:$G$51,0)))</f>
        <v>kg/hr</v>
      </c>
      <c r="H112" s="17" t="n">
        <f aca="false">IFERROR(INDEX(Plan!$D$38:$D$51,MATCH(B112&amp;"|"&amp;D112&amp;"|"&amp;E112,Plan!$G$38:$G$51,0)),INDEX(Plan!$D$38:$D$51,MATCH(B112&amp;"|"&amp;D112&amp;"|All",Plan!$G$38:$G$51,0)))</f>
        <v>1000</v>
      </c>
      <c r="I112" s="17" t="n">
        <f aca="false">IFERROR(INDEX(Plan!$E$38:$E$51,MATCH(B112&amp;"|"&amp;D112&amp;"|"&amp;E112,Plan!$G$38:$G$51,0)),INDEX(Plan!$E$38:$E$51,MATCH(B112&amp;"|"&amp;D112&amp;"|All",Plan!$G$38:$G$51,0)))</f>
        <v>1060</v>
      </c>
      <c r="J112" s="8" t="str">
        <f aca="false">IF(F112="","MISSING",IF(AND(F112&gt;=H112,F112&lt;=I112),"OK","OUT"))</f>
        <v>OK</v>
      </c>
      <c r="K112" s="15" t="s">
        <v>107</v>
      </c>
    </row>
    <row r="113" customFormat="false" ht="15" hidden="false" customHeight="false" outlineLevel="0" collapsed="false">
      <c r="A113" s="14" t="n">
        <v>46295</v>
      </c>
      <c r="B113" s="15" t="s">
        <v>64</v>
      </c>
      <c r="C113" s="21" t="n">
        <v>0.604166666666667</v>
      </c>
      <c r="D113" s="15" t="s">
        <v>80</v>
      </c>
      <c r="E113" s="15" t="s">
        <v>62</v>
      </c>
      <c r="F113" s="23" t="n">
        <v>89.4</v>
      </c>
      <c r="G113" s="17" t="str">
        <f aca="false">IFERROR(INDEX(Plan!$F$38:$F$51,MATCH(B113&amp;"|"&amp;D113&amp;"|"&amp;E113,Plan!$G$38:$G$51,0)),INDEX(Plan!$F$38:$F$51,MATCH(B113&amp;"|"&amp;D113&amp;"|All",Plan!$G$38:$G$51,0)))</f>
        <v>A</v>
      </c>
      <c r="H113" s="17" t="n">
        <f aca="false">IFERROR(INDEX(Plan!$D$38:$D$51,MATCH(B113&amp;"|"&amp;D113&amp;"|"&amp;E113,Plan!$G$38:$G$51,0)),INDEX(Plan!$D$38:$D$51,MATCH(B113&amp;"|"&amp;D113&amp;"|All",Plan!$G$38:$G$51,0)))</f>
        <v>80</v>
      </c>
      <c r="I113" s="17" t="n">
        <f aca="false">IFERROR(INDEX(Plan!$E$38:$E$51,MATCH(B113&amp;"|"&amp;D113&amp;"|"&amp;E113,Plan!$G$38:$G$51,0)),INDEX(Plan!$E$38:$E$51,MATCH(B113&amp;"|"&amp;D113&amp;"|All",Plan!$G$38:$G$51,0)))</f>
        <v>95</v>
      </c>
      <c r="J113" s="8" t="str">
        <f aca="false">IF(F113="","MISSING",IF(AND(F113&gt;=H113,F113&lt;=I113),"OK","OUT"))</f>
        <v>OK</v>
      </c>
      <c r="K113" s="15" t="s">
        <v>107</v>
      </c>
    </row>
    <row r="114" customFormat="false" ht="15" hidden="false" customHeight="false" outlineLevel="0" collapsed="false">
      <c r="A114" s="14" t="n">
        <v>46295</v>
      </c>
      <c r="B114" s="15" t="s">
        <v>64</v>
      </c>
      <c r="C114" s="21" t="n">
        <v>0.604166666666667</v>
      </c>
      <c r="D114" s="22" t="s">
        <v>82</v>
      </c>
      <c r="E114" s="15" t="s">
        <v>62</v>
      </c>
      <c r="F114" s="23" t="n">
        <v>36.1</v>
      </c>
      <c r="G114" s="17" t="str">
        <f aca="false">IFERROR(INDEX(Plan!$F$38:$F$51,MATCH(B114&amp;"|"&amp;D114&amp;"|"&amp;E114,Plan!$G$38:$G$51,0)),INDEX(Plan!$F$38:$F$51,MATCH(B114&amp;"|"&amp;D114&amp;"|All",Plan!$G$38:$G$51,0)))</f>
        <v>°C</v>
      </c>
      <c r="H114" s="17" t="n">
        <f aca="false">IFERROR(INDEX(Plan!$D$38:$D$51,MATCH(B114&amp;"|"&amp;D114&amp;"|"&amp;E114,Plan!$G$38:$G$51,0)),INDEX(Plan!$D$38:$D$51,MATCH(B114&amp;"|"&amp;D114&amp;"|All",Plan!$G$38:$G$51,0)))</f>
        <v>30</v>
      </c>
      <c r="I114" s="17" t="n">
        <f aca="false">IFERROR(INDEX(Plan!$E$38:$E$51,MATCH(B114&amp;"|"&amp;D114&amp;"|"&amp;E114,Plan!$G$38:$G$51,0)),INDEX(Plan!$E$38:$E$51,MATCH(B114&amp;"|"&amp;D114&amp;"|All",Plan!$G$38:$G$51,0)))</f>
        <v>42</v>
      </c>
      <c r="J114" s="8" t="str">
        <f aca="false">IF(F114="","MISSING",IF(AND(F114&gt;=H114,F114&lt;=I114),"OK","OUT"))</f>
        <v>OK</v>
      </c>
      <c r="K114" s="15" t="s">
        <v>107</v>
      </c>
    </row>
    <row r="115" customFormat="false" ht="15" hidden="false" customHeight="false" outlineLevel="0" collapsed="false">
      <c r="A115" s="14" t="n">
        <v>46295</v>
      </c>
      <c r="B115" s="15" t="s">
        <v>64</v>
      </c>
      <c r="C115" s="21" t="n">
        <v>0.604166666666667</v>
      </c>
      <c r="D115" s="22" t="s">
        <v>84</v>
      </c>
      <c r="E115" s="15" t="s">
        <v>62</v>
      </c>
      <c r="F115" s="23" t="n">
        <v>84.5</v>
      </c>
      <c r="G115" s="17" t="str">
        <f aca="false">IFERROR(INDEX(Plan!$F$38:$F$51,MATCH(B115&amp;"|"&amp;D115&amp;"|"&amp;E115,Plan!$G$38:$G$51,0)),INDEX(Plan!$F$38:$F$51,MATCH(B115&amp;"|"&amp;D115&amp;"|All",Plan!$G$38:$G$51,0)))</f>
        <v>%</v>
      </c>
      <c r="H115" s="17" t="n">
        <f aca="false">IFERROR(INDEX(Plan!$D$38:$D$51,MATCH(B115&amp;"|"&amp;D115&amp;"|"&amp;E115,Plan!$G$38:$G$51,0)),INDEX(Plan!$D$38:$D$51,MATCH(B115&amp;"|"&amp;D115&amp;"|All",Plan!$G$38:$G$51,0)))</f>
        <v>95</v>
      </c>
      <c r="I115" s="17" t="n">
        <f aca="false">IFERROR(INDEX(Plan!$E$38:$E$51,MATCH(B115&amp;"|"&amp;D115&amp;"|"&amp;E115,Plan!$G$38:$G$51,0)),INDEX(Plan!$E$38:$E$51,MATCH(B115&amp;"|"&amp;D115&amp;"|All",Plan!$G$38:$G$51,0)))</f>
        <v>100</v>
      </c>
      <c r="J115" s="8" t="str">
        <f aca="false">IF(F115="","MISSING",IF(AND(F115&gt;=H115,F115&lt;=I115),"OK","OUT"))</f>
        <v>OUT</v>
      </c>
      <c r="K115" s="15" t="s">
        <v>107</v>
      </c>
    </row>
    <row r="116" customFormat="false" ht="15" hidden="false" customHeight="false" outlineLevel="0" collapsed="false">
      <c r="A116" s="14" t="n">
        <v>46295</v>
      </c>
      <c r="B116" s="15" t="s">
        <v>64</v>
      </c>
      <c r="C116" s="21" t="n">
        <v>0.604166666666667</v>
      </c>
      <c r="D116" s="15" t="s">
        <v>85</v>
      </c>
      <c r="E116" s="15" t="s">
        <v>62</v>
      </c>
      <c r="F116" s="23" t="n">
        <v>416.8</v>
      </c>
      <c r="G116" s="17" t="str">
        <f aca="false">IFERROR(INDEX(Plan!$F$38:$F$51,MATCH(B116&amp;"|"&amp;D116&amp;"|"&amp;E116,Plan!$G$38:$G$51,0)),INDEX(Plan!$F$38:$F$51,MATCH(B116&amp;"|"&amp;D116&amp;"|All",Plan!$G$38:$G$51,0)))</f>
        <v>hours</v>
      </c>
      <c r="H116" s="17" t="n">
        <f aca="false">IFERROR(INDEX(Plan!$D$38:$D$51,MATCH(B116&amp;"|"&amp;D116&amp;"|"&amp;E116,Plan!$G$38:$G$51,0)),INDEX(Plan!$D$38:$D$51,MATCH(B116&amp;"|"&amp;D116&amp;"|All",Plan!$G$38:$G$51,0)))</f>
        <v>0</v>
      </c>
      <c r="I116" s="17" t="n">
        <f aca="false">IFERROR(INDEX(Plan!$E$38:$E$51,MATCH(B116&amp;"|"&amp;D116&amp;"|"&amp;E116,Plan!$G$38:$G$51,0)),INDEX(Plan!$E$38:$E$51,MATCH(B116&amp;"|"&amp;D116&amp;"|All",Plan!$G$38:$G$51,0)))</f>
        <v>400</v>
      </c>
      <c r="J116" s="8" t="str">
        <f aca="false">IF(F116="","MISSING",IF(AND(F116&gt;=H116,F116&lt;=I116),"OK","OUT"))</f>
        <v>OUT</v>
      </c>
      <c r="K116" s="15" t="s">
        <v>107</v>
      </c>
    </row>
    <row r="117" customFormat="false" ht="15" hidden="false" customHeight="false" outlineLevel="0" collapsed="false">
      <c r="A117" s="14" t="n">
        <v>46295</v>
      </c>
      <c r="B117" s="15" t="s">
        <v>64</v>
      </c>
      <c r="C117" s="21" t="n">
        <v>0.625</v>
      </c>
      <c r="D117" s="15" t="s">
        <v>79</v>
      </c>
      <c r="E117" s="15" t="s">
        <v>62</v>
      </c>
      <c r="F117" s="16" t="n">
        <v>1030</v>
      </c>
      <c r="G117" s="17" t="str">
        <f aca="false">IFERROR(INDEX(Plan!$F$38:$F$51,MATCH(B117&amp;"|"&amp;D117&amp;"|"&amp;E117,Plan!$G$38:$G$51,0)),INDEX(Plan!$F$38:$F$51,MATCH(B117&amp;"|"&amp;D117&amp;"|All",Plan!$G$38:$G$51,0)))</f>
        <v>kg/hr</v>
      </c>
      <c r="H117" s="17" t="n">
        <f aca="false">IFERROR(INDEX(Plan!$D$38:$D$51,MATCH(B117&amp;"|"&amp;D117&amp;"|"&amp;E117,Plan!$G$38:$G$51,0)),INDEX(Plan!$D$38:$D$51,MATCH(B117&amp;"|"&amp;D117&amp;"|All",Plan!$G$38:$G$51,0)))</f>
        <v>1000</v>
      </c>
      <c r="I117" s="17" t="n">
        <f aca="false">IFERROR(INDEX(Plan!$E$38:$E$51,MATCH(B117&amp;"|"&amp;D117&amp;"|"&amp;E117,Plan!$G$38:$G$51,0)),INDEX(Plan!$E$38:$E$51,MATCH(B117&amp;"|"&amp;D117&amp;"|All",Plan!$G$38:$G$51,0)))</f>
        <v>1060</v>
      </c>
      <c r="J117" s="8" t="str">
        <f aca="false">IF(F117="","MISSING",IF(AND(F117&gt;=H117,F117&lt;=I117),"OK","OUT"))</f>
        <v>OK</v>
      </c>
      <c r="K117" s="15" t="s">
        <v>107</v>
      </c>
    </row>
    <row r="118" customFormat="false" ht="15" hidden="false" customHeight="false" outlineLevel="0" collapsed="false">
      <c r="A118" s="14" t="n">
        <v>46295</v>
      </c>
      <c r="B118" s="15" t="s">
        <v>64</v>
      </c>
      <c r="C118" s="21" t="n">
        <v>0.625</v>
      </c>
      <c r="D118" s="15" t="s">
        <v>80</v>
      </c>
      <c r="E118" s="15" t="s">
        <v>62</v>
      </c>
      <c r="F118" s="23" t="n">
        <v>85.6</v>
      </c>
      <c r="G118" s="17" t="str">
        <f aca="false">IFERROR(INDEX(Plan!$F$38:$F$51,MATCH(B118&amp;"|"&amp;D118&amp;"|"&amp;E118,Plan!$G$38:$G$51,0)),INDEX(Plan!$F$38:$F$51,MATCH(B118&amp;"|"&amp;D118&amp;"|All",Plan!$G$38:$G$51,0)))</f>
        <v>A</v>
      </c>
      <c r="H118" s="17" t="n">
        <f aca="false">IFERROR(INDEX(Plan!$D$38:$D$51,MATCH(B118&amp;"|"&amp;D118&amp;"|"&amp;E118,Plan!$G$38:$G$51,0)),INDEX(Plan!$D$38:$D$51,MATCH(B118&amp;"|"&amp;D118&amp;"|All",Plan!$G$38:$G$51,0)))</f>
        <v>80</v>
      </c>
      <c r="I118" s="17" t="n">
        <f aca="false">IFERROR(INDEX(Plan!$E$38:$E$51,MATCH(B118&amp;"|"&amp;D118&amp;"|"&amp;E118,Plan!$G$38:$G$51,0)),INDEX(Plan!$E$38:$E$51,MATCH(B118&amp;"|"&amp;D118&amp;"|All",Plan!$G$38:$G$51,0)))</f>
        <v>95</v>
      </c>
      <c r="J118" s="8" t="str">
        <f aca="false">IF(F118="","MISSING",IF(AND(F118&gt;=H118,F118&lt;=I118),"OK","OUT"))</f>
        <v>OK</v>
      </c>
      <c r="K118" s="15" t="s">
        <v>107</v>
      </c>
    </row>
    <row r="119" customFormat="false" ht="15" hidden="false" customHeight="false" outlineLevel="0" collapsed="false">
      <c r="A119" s="14" t="n">
        <v>46295</v>
      </c>
      <c r="B119" s="15" t="s">
        <v>64</v>
      </c>
      <c r="C119" s="21" t="n">
        <v>0.625</v>
      </c>
      <c r="D119" s="22" t="s">
        <v>82</v>
      </c>
      <c r="E119" s="15" t="s">
        <v>62</v>
      </c>
      <c r="F119" s="23" t="n">
        <v>36.6</v>
      </c>
      <c r="G119" s="17" t="str">
        <f aca="false">IFERROR(INDEX(Plan!$F$38:$F$51,MATCH(B119&amp;"|"&amp;D119&amp;"|"&amp;E119,Plan!$G$38:$G$51,0)),INDEX(Plan!$F$38:$F$51,MATCH(B119&amp;"|"&amp;D119&amp;"|All",Plan!$G$38:$G$51,0)))</f>
        <v>°C</v>
      </c>
      <c r="H119" s="17" t="n">
        <f aca="false">IFERROR(INDEX(Plan!$D$38:$D$51,MATCH(B119&amp;"|"&amp;D119&amp;"|"&amp;E119,Plan!$G$38:$G$51,0)),INDEX(Plan!$D$38:$D$51,MATCH(B119&amp;"|"&amp;D119&amp;"|All",Plan!$G$38:$G$51,0)))</f>
        <v>30</v>
      </c>
      <c r="I119" s="17" t="n">
        <f aca="false">IFERROR(INDEX(Plan!$E$38:$E$51,MATCH(B119&amp;"|"&amp;D119&amp;"|"&amp;E119,Plan!$G$38:$G$51,0)),INDEX(Plan!$E$38:$E$51,MATCH(B119&amp;"|"&amp;D119&amp;"|All",Plan!$G$38:$G$51,0)))</f>
        <v>42</v>
      </c>
      <c r="J119" s="8" t="str">
        <f aca="false">IF(F119="","MISSING",IF(AND(F119&gt;=H119,F119&lt;=I119),"OK","OUT"))</f>
        <v>OK</v>
      </c>
      <c r="K119" s="15" t="s">
        <v>107</v>
      </c>
    </row>
    <row r="120" customFormat="false" ht="15" hidden="false" customHeight="false" outlineLevel="0" collapsed="false">
      <c r="A120" s="14" t="n">
        <v>46295</v>
      </c>
      <c r="B120" s="15" t="s">
        <v>64</v>
      </c>
      <c r="C120" s="21" t="n">
        <v>0.625</v>
      </c>
      <c r="D120" s="22" t="s">
        <v>84</v>
      </c>
      <c r="E120" s="15" t="s">
        <v>62</v>
      </c>
      <c r="F120" s="23" t="n">
        <v>98.1</v>
      </c>
      <c r="G120" s="17" t="str">
        <f aca="false">IFERROR(INDEX(Plan!$F$38:$F$51,MATCH(B120&amp;"|"&amp;D120&amp;"|"&amp;E120,Plan!$G$38:$G$51,0)),INDEX(Plan!$F$38:$F$51,MATCH(B120&amp;"|"&amp;D120&amp;"|All",Plan!$G$38:$G$51,0)))</f>
        <v>%</v>
      </c>
      <c r="H120" s="17" t="n">
        <f aca="false">IFERROR(INDEX(Plan!$D$38:$D$51,MATCH(B120&amp;"|"&amp;D120&amp;"|"&amp;E120,Plan!$G$38:$G$51,0)),INDEX(Plan!$D$38:$D$51,MATCH(B120&amp;"|"&amp;D120&amp;"|All",Plan!$G$38:$G$51,0)))</f>
        <v>95</v>
      </c>
      <c r="I120" s="17" t="n">
        <f aca="false">IFERROR(INDEX(Plan!$E$38:$E$51,MATCH(B120&amp;"|"&amp;D120&amp;"|"&amp;E120,Plan!$G$38:$G$51,0)),INDEX(Plan!$E$38:$E$51,MATCH(B120&amp;"|"&amp;D120&amp;"|All",Plan!$G$38:$G$51,0)))</f>
        <v>100</v>
      </c>
      <c r="J120" s="8" t="str">
        <f aca="false">IF(F120="","MISSING",IF(AND(F120&gt;=H120,F120&lt;=I120),"OK","OUT"))</f>
        <v>OK</v>
      </c>
      <c r="K120" s="15" t="s">
        <v>107</v>
      </c>
    </row>
    <row r="121" customFormat="false" ht="15" hidden="false" customHeight="false" outlineLevel="0" collapsed="false">
      <c r="A121" s="14" t="n">
        <v>46295</v>
      </c>
      <c r="B121" s="15" t="s">
        <v>64</v>
      </c>
      <c r="C121" s="21" t="n">
        <v>0.625</v>
      </c>
      <c r="D121" s="15" t="s">
        <v>85</v>
      </c>
      <c r="E121" s="15" t="s">
        <v>62</v>
      </c>
      <c r="F121" s="23" t="n">
        <v>0</v>
      </c>
      <c r="G121" s="17" t="str">
        <f aca="false">IFERROR(INDEX(Plan!$F$38:$F$51,MATCH(B121&amp;"|"&amp;D121&amp;"|"&amp;E121,Plan!$G$38:$G$51,0)),INDEX(Plan!$F$38:$F$51,MATCH(B121&amp;"|"&amp;D121&amp;"|All",Plan!$G$38:$G$51,0)))</f>
        <v>hours</v>
      </c>
      <c r="H121" s="17" t="n">
        <f aca="false">IFERROR(INDEX(Plan!$D$38:$D$51,MATCH(B121&amp;"|"&amp;D121&amp;"|"&amp;E121,Plan!$G$38:$G$51,0)),INDEX(Plan!$D$38:$D$51,MATCH(B121&amp;"|"&amp;D121&amp;"|All",Plan!$G$38:$G$51,0)))</f>
        <v>0</v>
      </c>
      <c r="I121" s="17" t="n">
        <f aca="false">IFERROR(INDEX(Plan!$E$38:$E$51,MATCH(B121&amp;"|"&amp;D121&amp;"|"&amp;E121,Plan!$G$38:$G$51,0)),INDEX(Plan!$E$38:$E$51,MATCH(B121&amp;"|"&amp;D121&amp;"|All",Plan!$G$38:$G$51,0)))</f>
        <v>400</v>
      </c>
      <c r="J121" s="8" t="str">
        <f aca="false">IF(F121="","MISSING",IF(AND(F121&gt;=H121,F121&lt;=I121),"OK","OUT"))</f>
        <v>OK</v>
      </c>
      <c r="K121" s="15" t="s">
        <v>107</v>
      </c>
    </row>
    <row r="122" customFormat="false" ht="15" hidden="false" customHeight="false" outlineLevel="0" collapsed="false">
      <c r="A122" s="14" t="n">
        <v>46295</v>
      </c>
      <c r="B122" s="15" t="s">
        <v>64</v>
      </c>
      <c r="C122" s="21" t="n">
        <v>0.625</v>
      </c>
      <c r="D122" s="22" t="s">
        <v>87</v>
      </c>
      <c r="E122" s="15" t="s">
        <v>62</v>
      </c>
      <c r="F122" s="16" t="n">
        <v>137</v>
      </c>
      <c r="G122" s="17" t="str">
        <f aca="false">IFERROR(INDEX(Plan!$F$38:$F$51,MATCH(B122&amp;"|"&amp;D122&amp;"|"&amp;E122,Plan!$G$38:$G$51,0)),INDEX(Plan!$F$38:$F$51,MATCH(B122&amp;"|"&amp;D122&amp;"|All",Plan!$G$38:$G$51,0)))</f>
        <v>ASTA</v>
      </c>
      <c r="H122" s="17" t="n">
        <f aca="false">IFERROR(INDEX(Plan!$D$38:$D$51,MATCH(B122&amp;"|"&amp;D122&amp;"|"&amp;E122,Plan!$G$38:$G$51,0)),INDEX(Plan!$D$38:$D$51,MATCH(B122&amp;"|"&amp;D122&amp;"|All",Plan!$G$38:$G$51,0)))</f>
        <v>120</v>
      </c>
      <c r="I122" s="17" t="n">
        <f aca="false">IFERROR(INDEX(Plan!$E$38:$E$51,MATCH(B122&amp;"|"&amp;D122&amp;"|"&amp;E122,Plan!$G$38:$G$51,0)),INDEX(Plan!$E$38:$E$51,MATCH(B122&amp;"|"&amp;D122&amp;"|All",Plan!$G$38:$G$51,0)))</f>
        <v>180</v>
      </c>
      <c r="J122" s="8" t="str">
        <f aca="false">IF(F122="","MISSING",IF(AND(F122&gt;=H122,F122&lt;=I122),"OK","OUT"))</f>
        <v>OK</v>
      </c>
      <c r="K122" s="15" t="s">
        <v>107</v>
      </c>
    </row>
    <row r="123" customFormat="false" ht="15" hidden="false" customHeight="false" outlineLevel="0" collapsed="false">
      <c r="A123" s="14" t="n">
        <v>46295</v>
      </c>
      <c r="B123" s="15" t="s">
        <v>64</v>
      </c>
      <c r="C123" s="21" t="n">
        <v>0.645833333333333</v>
      </c>
      <c r="D123" s="15" t="s">
        <v>79</v>
      </c>
      <c r="E123" s="15" t="s">
        <v>62</v>
      </c>
      <c r="F123" s="16" t="n">
        <v>1030</v>
      </c>
      <c r="G123" s="17" t="str">
        <f aca="false">IFERROR(INDEX(Plan!$F$38:$F$51,MATCH(B123&amp;"|"&amp;D123&amp;"|"&amp;E123,Plan!$G$38:$G$51,0)),INDEX(Plan!$F$38:$F$51,MATCH(B123&amp;"|"&amp;D123&amp;"|All",Plan!$G$38:$G$51,0)))</f>
        <v>kg/hr</v>
      </c>
      <c r="H123" s="17" t="n">
        <f aca="false">IFERROR(INDEX(Plan!$D$38:$D$51,MATCH(B123&amp;"|"&amp;D123&amp;"|"&amp;E123,Plan!$G$38:$G$51,0)),INDEX(Plan!$D$38:$D$51,MATCH(B123&amp;"|"&amp;D123&amp;"|All",Plan!$G$38:$G$51,0)))</f>
        <v>1000</v>
      </c>
      <c r="I123" s="17" t="n">
        <f aca="false">IFERROR(INDEX(Plan!$E$38:$E$51,MATCH(B123&amp;"|"&amp;D123&amp;"|"&amp;E123,Plan!$G$38:$G$51,0)),INDEX(Plan!$E$38:$E$51,MATCH(B123&amp;"|"&amp;D123&amp;"|All",Plan!$G$38:$G$51,0)))</f>
        <v>1060</v>
      </c>
      <c r="J123" s="8" t="str">
        <f aca="false">IF(F123="","MISSING",IF(AND(F123&gt;=H123,F123&lt;=I123),"OK","OUT"))</f>
        <v>OK</v>
      </c>
      <c r="K123" s="15" t="s">
        <v>107</v>
      </c>
    </row>
    <row r="124" customFormat="false" ht="15" hidden="false" customHeight="false" outlineLevel="0" collapsed="false">
      <c r="A124" s="14" t="n">
        <v>46295</v>
      </c>
      <c r="B124" s="15" t="s">
        <v>64</v>
      </c>
      <c r="C124" s="21" t="n">
        <v>0.645833333333333</v>
      </c>
      <c r="D124" s="15" t="s">
        <v>80</v>
      </c>
      <c r="E124" s="15" t="s">
        <v>62</v>
      </c>
      <c r="F124" s="23" t="n">
        <v>88</v>
      </c>
      <c r="G124" s="17" t="str">
        <f aca="false">IFERROR(INDEX(Plan!$F$38:$F$51,MATCH(B124&amp;"|"&amp;D124&amp;"|"&amp;E124,Plan!$G$38:$G$51,0)),INDEX(Plan!$F$38:$F$51,MATCH(B124&amp;"|"&amp;D124&amp;"|All",Plan!$G$38:$G$51,0)))</f>
        <v>A</v>
      </c>
      <c r="H124" s="17" t="n">
        <f aca="false">IFERROR(INDEX(Plan!$D$38:$D$51,MATCH(B124&amp;"|"&amp;D124&amp;"|"&amp;E124,Plan!$G$38:$G$51,0)),INDEX(Plan!$D$38:$D$51,MATCH(B124&amp;"|"&amp;D124&amp;"|All",Plan!$G$38:$G$51,0)))</f>
        <v>80</v>
      </c>
      <c r="I124" s="17" t="n">
        <f aca="false">IFERROR(INDEX(Plan!$E$38:$E$51,MATCH(B124&amp;"|"&amp;D124&amp;"|"&amp;E124,Plan!$G$38:$G$51,0)),INDEX(Plan!$E$38:$E$51,MATCH(B124&amp;"|"&amp;D124&amp;"|All",Plan!$G$38:$G$51,0)))</f>
        <v>95</v>
      </c>
      <c r="J124" s="8" t="str">
        <f aca="false">IF(F124="","MISSING",IF(AND(F124&gt;=H124,F124&lt;=I124),"OK","OUT"))</f>
        <v>OK</v>
      </c>
      <c r="K124" s="15" t="s">
        <v>107</v>
      </c>
    </row>
    <row r="125" customFormat="false" ht="15" hidden="false" customHeight="false" outlineLevel="0" collapsed="false">
      <c r="A125" s="14" t="n">
        <v>46295</v>
      </c>
      <c r="B125" s="15" t="s">
        <v>64</v>
      </c>
      <c r="C125" s="21" t="n">
        <v>0.645833333333333</v>
      </c>
      <c r="D125" s="22" t="s">
        <v>82</v>
      </c>
      <c r="E125" s="15" t="s">
        <v>62</v>
      </c>
      <c r="F125" s="23" t="n">
        <v>37.7</v>
      </c>
      <c r="G125" s="17" t="str">
        <f aca="false">IFERROR(INDEX(Plan!$F$38:$F$51,MATCH(B125&amp;"|"&amp;D125&amp;"|"&amp;E125,Plan!$G$38:$G$51,0)),INDEX(Plan!$F$38:$F$51,MATCH(B125&amp;"|"&amp;D125&amp;"|All",Plan!$G$38:$G$51,0)))</f>
        <v>°C</v>
      </c>
      <c r="H125" s="17" t="n">
        <f aca="false">IFERROR(INDEX(Plan!$D$38:$D$51,MATCH(B125&amp;"|"&amp;D125&amp;"|"&amp;E125,Plan!$G$38:$G$51,0)),INDEX(Plan!$D$38:$D$51,MATCH(B125&amp;"|"&amp;D125&amp;"|All",Plan!$G$38:$G$51,0)))</f>
        <v>30</v>
      </c>
      <c r="I125" s="17" t="n">
        <f aca="false">IFERROR(INDEX(Plan!$E$38:$E$51,MATCH(B125&amp;"|"&amp;D125&amp;"|"&amp;E125,Plan!$G$38:$G$51,0)),INDEX(Plan!$E$38:$E$51,MATCH(B125&amp;"|"&amp;D125&amp;"|All",Plan!$G$38:$G$51,0)))</f>
        <v>42</v>
      </c>
      <c r="J125" s="8" t="str">
        <f aca="false">IF(F125="","MISSING",IF(AND(F125&gt;=H125,F125&lt;=I125),"OK","OUT"))</f>
        <v>OK</v>
      </c>
      <c r="K125" s="15" t="s">
        <v>107</v>
      </c>
    </row>
    <row r="126" customFormat="false" ht="15" hidden="false" customHeight="false" outlineLevel="0" collapsed="false">
      <c r="A126" s="14" t="n">
        <v>46295</v>
      </c>
      <c r="B126" s="15" t="s">
        <v>64</v>
      </c>
      <c r="C126" s="21" t="n">
        <v>0.645833333333333</v>
      </c>
      <c r="D126" s="22" t="s">
        <v>84</v>
      </c>
      <c r="E126" s="15" t="s">
        <v>62</v>
      </c>
      <c r="F126" s="23" t="n">
        <v>97.9</v>
      </c>
      <c r="G126" s="17" t="str">
        <f aca="false">IFERROR(INDEX(Plan!$F$38:$F$51,MATCH(B126&amp;"|"&amp;D126&amp;"|"&amp;E126,Plan!$G$38:$G$51,0)),INDEX(Plan!$F$38:$F$51,MATCH(B126&amp;"|"&amp;D126&amp;"|All",Plan!$G$38:$G$51,0)))</f>
        <v>%</v>
      </c>
      <c r="H126" s="17" t="n">
        <f aca="false">IFERROR(INDEX(Plan!$D$38:$D$51,MATCH(B126&amp;"|"&amp;D126&amp;"|"&amp;E126,Plan!$G$38:$G$51,0)),INDEX(Plan!$D$38:$D$51,MATCH(B126&amp;"|"&amp;D126&amp;"|All",Plan!$G$38:$G$51,0)))</f>
        <v>95</v>
      </c>
      <c r="I126" s="17" t="n">
        <f aca="false">IFERROR(INDEX(Plan!$E$38:$E$51,MATCH(B126&amp;"|"&amp;D126&amp;"|"&amp;E126,Plan!$G$38:$G$51,0)),INDEX(Plan!$E$38:$E$51,MATCH(B126&amp;"|"&amp;D126&amp;"|All",Plan!$G$38:$G$51,0)))</f>
        <v>100</v>
      </c>
      <c r="J126" s="8" t="str">
        <f aca="false">IF(F126="","MISSING",IF(AND(F126&gt;=H126,F126&lt;=I126),"OK","OUT"))</f>
        <v>OK</v>
      </c>
      <c r="K126" s="15" t="s">
        <v>107</v>
      </c>
    </row>
    <row r="127" customFormat="false" ht="15" hidden="false" customHeight="false" outlineLevel="0" collapsed="false">
      <c r="A127" s="14" t="n">
        <v>46295</v>
      </c>
      <c r="B127" s="15" t="s">
        <v>64</v>
      </c>
      <c r="C127" s="21" t="n">
        <v>0.645833333333333</v>
      </c>
      <c r="D127" s="15" t="s">
        <v>85</v>
      </c>
      <c r="E127" s="15" t="s">
        <v>62</v>
      </c>
      <c r="F127" s="23" t="n">
        <v>0.5</v>
      </c>
      <c r="G127" s="17" t="str">
        <f aca="false">IFERROR(INDEX(Plan!$F$38:$F$51,MATCH(B127&amp;"|"&amp;D127&amp;"|"&amp;E127,Plan!$G$38:$G$51,0)),INDEX(Plan!$F$38:$F$51,MATCH(B127&amp;"|"&amp;D127&amp;"|All",Plan!$G$38:$G$51,0)))</f>
        <v>hours</v>
      </c>
      <c r="H127" s="17" t="n">
        <f aca="false">IFERROR(INDEX(Plan!$D$38:$D$51,MATCH(B127&amp;"|"&amp;D127&amp;"|"&amp;E127,Plan!$G$38:$G$51,0)),INDEX(Plan!$D$38:$D$51,MATCH(B127&amp;"|"&amp;D127&amp;"|All",Plan!$G$38:$G$51,0)))</f>
        <v>0</v>
      </c>
      <c r="I127" s="17" t="n">
        <f aca="false">IFERROR(INDEX(Plan!$E$38:$E$51,MATCH(B127&amp;"|"&amp;D127&amp;"|"&amp;E127,Plan!$G$38:$G$51,0)),INDEX(Plan!$E$38:$E$51,MATCH(B127&amp;"|"&amp;D127&amp;"|All",Plan!$G$38:$G$51,0)))</f>
        <v>400</v>
      </c>
      <c r="J127" s="8" t="str">
        <f aca="false">IF(F127="","MISSING",IF(AND(F127&gt;=H127,F127&lt;=I127),"OK","OUT"))</f>
        <v>OK</v>
      </c>
      <c r="K127" s="15" t="s">
        <v>107</v>
      </c>
    </row>
    <row r="128" customFormat="false" ht="15" hidden="false" customHeight="false" outlineLevel="0" collapsed="false">
      <c r="A128" s="14" t="n">
        <v>46295</v>
      </c>
      <c r="B128" s="15" t="s">
        <v>64</v>
      </c>
      <c r="C128" s="21" t="n">
        <v>0.666666666666667</v>
      </c>
      <c r="D128" s="15" t="s">
        <v>79</v>
      </c>
      <c r="E128" s="15" t="s">
        <v>62</v>
      </c>
      <c r="F128" s="16" t="n">
        <v>1030</v>
      </c>
      <c r="G128" s="17" t="str">
        <f aca="false">IFERROR(INDEX(Plan!$F$38:$F$51,MATCH(B128&amp;"|"&amp;D128&amp;"|"&amp;E128,Plan!$G$38:$G$51,0)),INDEX(Plan!$F$38:$F$51,MATCH(B128&amp;"|"&amp;D128&amp;"|All",Plan!$G$38:$G$51,0)))</f>
        <v>kg/hr</v>
      </c>
      <c r="H128" s="17" t="n">
        <f aca="false">IFERROR(INDEX(Plan!$D$38:$D$51,MATCH(B128&amp;"|"&amp;D128&amp;"|"&amp;E128,Plan!$G$38:$G$51,0)),INDEX(Plan!$D$38:$D$51,MATCH(B128&amp;"|"&amp;D128&amp;"|All",Plan!$G$38:$G$51,0)))</f>
        <v>1000</v>
      </c>
      <c r="I128" s="17" t="n">
        <f aca="false">IFERROR(INDEX(Plan!$E$38:$E$51,MATCH(B128&amp;"|"&amp;D128&amp;"|"&amp;E128,Plan!$G$38:$G$51,0)),INDEX(Plan!$E$38:$E$51,MATCH(B128&amp;"|"&amp;D128&amp;"|All",Plan!$G$38:$G$51,0)))</f>
        <v>1060</v>
      </c>
      <c r="J128" s="8" t="str">
        <f aca="false">IF(F128="","MISSING",IF(AND(F128&gt;=H128,F128&lt;=I128),"OK","OUT"))</f>
        <v>OK</v>
      </c>
      <c r="K128" s="15" t="s">
        <v>107</v>
      </c>
    </row>
    <row r="129" customFormat="false" ht="15" hidden="false" customHeight="false" outlineLevel="0" collapsed="false">
      <c r="A129" s="14" t="n">
        <v>46295</v>
      </c>
      <c r="B129" s="15" t="s">
        <v>64</v>
      </c>
      <c r="C129" s="21" t="n">
        <v>0.666666666666667</v>
      </c>
      <c r="D129" s="15" t="s">
        <v>80</v>
      </c>
      <c r="E129" s="15" t="s">
        <v>62</v>
      </c>
      <c r="F129" s="23" t="n">
        <v>85.2</v>
      </c>
      <c r="G129" s="17" t="str">
        <f aca="false">IFERROR(INDEX(Plan!$F$38:$F$51,MATCH(B129&amp;"|"&amp;D129&amp;"|"&amp;E129,Plan!$G$38:$G$51,0)),INDEX(Plan!$F$38:$F$51,MATCH(B129&amp;"|"&amp;D129&amp;"|All",Plan!$G$38:$G$51,0)))</f>
        <v>A</v>
      </c>
      <c r="H129" s="17" t="n">
        <f aca="false">IFERROR(INDEX(Plan!$D$38:$D$51,MATCH(B129&amp;"|"&amp;D129&amp;"|"&amp;E129,Plan!$G$38:$G$51,0)),INDEX(Plan!$D$38:$D$51,MATCH(B129&amp;"|"&amp;D129&amp;"|All",Plan!$G$38:$G$51,0)))</f>
        <v>80</v>
      </c>
      <c r="I129" s="17" t="n">
        <f aca="false">IFERROR(INDEX(Plan!$E$38:$E$51,MATCH(B129&amp;"|"&amp;D129&amp;"|"&amp;E129,Plan!$G$38:$G$51,0)),INDEX(Plan!$E$38:$E$51,MATCH(B129&amp;"|"&amp;D129&amp;"|All",Plan!$G$38:$G$51,0)))</f>
        <v>95</v>
      </c>
      <c r="J129" s="8" t="str">
        <f aca="false">IF(F129="","MISSING",IF(AND(F129&gt;=H129,F129&lt;=I129),"OK","OUT"))</f>
        <v>OK</v>
      </c>
      <c r="K129" s="15" t="s">
        <v>107</v>
      </c>
    </row>
    <row r="130" customFormat="false" ht="15" hidden="false" customHeight="false" outlineLevel="0" collapsed="false">
      <c r="A130" s="14" t="n">
        <v>46295</v>
      </c>
      <c r="B130" s="15" t="s">
        <v>64</v>
      </c>
      <c r="C130" s="21" t="n">
        <v>0.666666666666667</v>
      </c>
      <c r="D130" s="22" t="s">
        <v>82</v>
      </c>
      <c r="E130" s="15" t="s">
        <v>62</v>
      </c>
      <c r="F130" s="23" t="n">
        <v>36.5</v>
      </c>
      <c r="G130" s="17" t="str">
        <f aca="false">IFERROR(INDEX(Plan!$F$38:$F$51,MATCH(B130&amp;"|"&amp;D130&amp;"|"&amp;E130,Plan!$G$38:$G$51,0)),INDEX(Plan!$F$38:$F$51,MATCH(B130&amp;"|"&amp;D130&amp;"|All",Plan!$G$38:$G$51,0)))</f>
        <v>°C</v>
      </c>
      <c r="H130" s="17" t="n">
        <f aca="false">IFERROR(INDEX(Plan!$D$38:$D$51,MATCH(B130&amp;"|"&amp;D130&amp;"|"&amp;E130,Plan!$G$38:$G$51,0)),INDEX(Plan!$D$38:$D$51,MATCH(B130&amp;"|"&amp;D130&amp;"|All",Plan!$G$38:$G$51,0)))</f>
        <v>30</v>
      </c>
      <c r="I130" s="17" t="n">
        <f aca="false">IFERROR(INDEX(Plan!$E$38:$E$51,MATCH(B130&amp;"|"&amp;D130&amp;"|"&amp;E130,Plan!$G$38:$G$51,0)),INDEX(Plan!$E$38:$E$51,MATCH(B130&amp;"|"&amp;D130&amp;"|All",Plan!$G$38:$G$51,0)))</f>
        <v>42</v>
      </c>
      <c r="J130" s="8" t="str">
        <f aca="false">IF(F130="","MISSING",IF(AND(F130&gt;=H130,F130&lt;=I130),"OK","OUT"))</f>
        <v>OK</v>
      </c>
      <c r="K130" s="15" t="s">
        <v>107</v>
      </c>
    </row>
    <row r="131" customFormat="false" ht="15" hidden="false" customHeight="false" outlineLevel="0" collapsed="false">
      <c r="A131" s="14" t="n">
        <v>46295</v>
      </c>
      <c r="B131" s="15" t="s">
        <v>64</v>
      </c>
      <c r="C131" s="21" t="n">
        <v>0.666666666666667</v>
      </c>
      <c r="D131" s="22" t="s">
        <v>84</v>
      </c>
      <c r="E131" s="15" t="s">
        <v>62</v>
      </c>
      <c r="F131" s="23" t="n">
        <v>98.4</v>
      </c>
      <c r="G131" s="17" t="str">
        <f aca="false">IFERROR(INDEX(Plan!$F$38:$F$51,MATCH(B131&amp;"|"&amp;D131&amp;"|"&amp;E131,Plan!$G$38:$G$51,0)),INDEX(Plan!$F$38:$F$51,MATCH(B131&amp;"|"&amp;D131&amp;"|All",Plan!$G$38:$G$51,0)))</f>
        <v>%</v>
      </c>
      <c r="H131" s="17" t="n">
        <f aca="false">IFERROR(INDEX(Plan!$D$38:$D$51,MATCH(B131&amp;"|"&amp;D131&amp;"|"&amp;E131,Plan!$G$38:$G$51,0)),INDEX(Plan!$D$38:$D$51,MATCH(B131&amp;"|"&amp;D131&amp;"|All",Plan!$G$38:$G$51,0)))</f>
        <v>95</v>
      </c>
      <c r="I131" s="17" t="n">
        <f aca="false">IFERROR(INDEX(Plan!$E$38:$E$51,MATCH(B131&amp;"|"&amp;D131&amp;"|"&amp;E131,Plan!$G$38:$G$51,0)),INDEX(Plan!$E$38:$E$51,MATCH(B131&amp;"|"&amp;D131&amp;"|All",Plan!$G$38:$G$51,0)))</f>
        <v>100</v>
      </c>
      <c r="J131" s="8" t="str">
        <f aca="false">IF(F131="","MISSING",IF(AND(F131&gt;=H131,F131&lt;=I131),"OK","OUT"))</f>
        <v>OK</v>
      </c>
      <c r="K131" s="15" t="s">
        <v>107</v>
      </c>
    </row>
    <row r="132" customFormat="false" ht="15" hidden="false" customHeight="false" outlineLevel="0" collapsed="false">
      <c r="A132" s="14" t="n">
        <v>46295</v>
      </c>
      <c r="B132" s="15" t="s">
        <v>64</v>
      </c>
      <c r="C132" s="21" t="n">
        <v>0.666666666666667</v>
      </c>
      <c r="D132" s="15" t="s">
        <v>85</v>
      </c>
      <c r="E132" s="15" t="s">
        <v>62</v>
      </c>
      <c r="F132" s="23" t="n">
        <v>1</v>
      </c>
      <c r="G132" s="17" t="str">
        <f aca="false">IFERROR(INDEX(Plan!$F$38:$F$51,MATCH(B132&amp;"|"&amp;D132&amp;"|"&amp;E132,Plan!$G$38:$G$51,0)),INDEX(Plan!$F$38:$F$51,MATCH(B132&amp;"|"&amp;D132&amp;"|All",Plan!$G$38:$G$51,0)))</f>
        <v>hours</v>
      </c>
      <c r="H132" s="17" t="n">
        <f aca="false">IFERROR(INDEX(Plan!$D$38:$D$51,MATCH(B132&amp;"|"&amp;D132&amp;"|"&amp;E132,Plan!$G$38:$G$51,0)),INDEX(Plan!$D$38:$D$51,MATCH(B132&amp;"|"&amp;D132&amp;"|All",Plan!$G$38:$G$51,0)))</f>
        <v>0</v>
      </c>
      <c r="I132" s="17" t="n">
        <f aca="false">IFERROR(INDEX(Plan!$E$38:$E$51,MATCH(B132&amp;"|"&amp;D132&amp;"|"&amp;E132,Plan!$G$38:$G$51,0)),INDEX(Plan!$E$38:$E$51,MATCH(B132&amp;"|"&amp;D132&amp;"|All",Plan!$G$38:$G$51,0)))</f>
        <v>400</v>
      </c>
      <c r="J132" s="8" t="str">
        <f aca="false">IF(F132="","MISSING",IF(AND(F132&gt;=H132,F132&lt;=I132),"OK","OUT"))</f>
        <v>OK</v>
      </c>
      <c r="K132" s="15" t="s">
        <v>107</v>
      </c>
    </row>
    <row r="133" customFormat="false" ht="15" hidden="false" customHeight="false" outlineLevel="0" collapsed="false">
      <c r="A133" s="14" t="n">
        <v>46295</v>
      </c>
      <c r="B133" s="15" t="s">
        <v>64</v>
      </c>
      <c r="C133" s="21" t="n">
        <v>0.666666666666667</v>
      </c>
      <c r="D133" s="22" t="s">
        <v>87</v>
      </c>
      <c r="E133" s="15" t="s">
        <v>62</v>
      </c>
      <c r="F133" s="16" t="n">
        <v>135</v>
      </c>
      <c r="G133" s="17" t="str">
        <f aca="false">IFERROR(INDEX(Plan!$F$38:$F$51,MATCH(B133&amp;"|"&amp;D133&amp;"|"&amp;E133,Plan!$G$38:$G$51,0)),INDEX(Plan!$F$38:$F$51,MATCH(B133&amp;"|"&amp;D133&amp;"|All",Plan!$G$38:$G$51,0)))</f>
        <v>ASTA</v>
      </c>
      <c r="H133" s="17" t="n">
        <f aca="false">IFERROR(INDEX(Plan!$D$38:$D$51,MATCH(B133&amp;"|"&amp;D133&amp;"|"&amp;E133,Plan!$G$38:$G$51,0)),INDEX(Plan!$D$38:$D$51,MATCH(B133&amp;"|"&amp;D133&amp;"|All",Plan!$G$38:$G$51,0)))</f>
        <v>120</v>
      </c>
      <c r="I133" s="17" t="n">
        <f aca="false">IFERROR(INDEX(Plan!$E$38:$E$51,MATCH(B133&amp;"|"&amp;D133&amp;"|"&amp;E133,Plan!$G$38:$G$51,0)),INDEX(Plan!$E$38:$E$51,MATCH(B133&amp;"|"&amp;D133&amp;"|All",Plan!$G$38:$G$51,0)))</f>
        <v>180</v>
      </c>
      <c r="J133" s="8" t="str">
        <f aca="false">IF(F133="","MISSING",IF(AND(F133&gt;=H133,F133&lt;=I133),"OK","OUT"))</f>
        <v>OK</v>
      </c>
      <c r="K133" s="15" t="s">
        <v>107</v>
      </c>
    </row>
    <row r="134" customFormat="false" ht="15" hidden="false" customHeight="false" outlineLevel="0" collapsed="false">
      <c r="A134" s="14" t="n">
        <v>46295</v>
      </c>
      <c r="B134" s="15" t="s">
        <v>64</v>
      </c>
      <c r="C134" s="21" t="n">
        <v>0.6875</v>
      </c>
      <c r="D134" s="15" t="s">
        <v>79</v>
      </c>
      <c r="E134" s="15" t="s">
        <v>62</v>
      </c>
      <c r="F134" s="16" t="n">
        <v>1030</v>
      </c>
      <c r="G134" s="17" t="str">
        <f aca="false">IFERROR(INDEX(Plan!$F$38:$F$51,MATCH(B134&amp;"|"&amp;D134&amp;"|"&amp;E134,Plan!$G$38:$G$51,0)),INDEX(Plan!$F$38:$F$51,MATCH(B134&amp;"|"&amp;D134&amp;"|All",Plan!$G$38:$G$51,0)))</f>
        <v>kg/hr</v>
      </c>
      <c r="H134" s="17" t="n">
        <f aca="false">IFERROR(INDEX(Plan!$D$38:$D$51,MATCH(B134&amp;"|"&amp;D134&amp;"|"&amp;E134,Plan!$G$38:$G$51,0)),INDEX(Plan!$D$38:$D$51,MATCH(B134&amp;"|"&amp;D134&amp;"|All",Plan!$G$38:$G$51,0)))</f>
        <v>1000</v>
      </c>
      <c r="I134" s="17" t="n">
        <f aca="false">IFERROR(INDEX(Plan!$E$38:$E$51,MATCH(B134&amp;"|"&amp;D134&amp;"|"&amp;E134,Plan!$G$38:$G$51,0)),INDEX(Plan!$E$38:$E$51,MATCH(B134&amp;"|"&amp;D134&amp;"|All",Plan!$G$38:$G$51,0)))</f>
        <v>1060</v>
      </c>
      <c r="J134" s="8" t="str">
        <f aca="false">IF(F134="","MISSING",IF(AND(F134&gt;=H134,F134&lt;=I134),"OK","OUT"))</f>
        <v>OK</v>
      </c>
      <c r="K134" s="15" t="s">
        <v>107</v>
      </c>
    </row>
    <row r="135" customFormat="false" ht="15" hidden="false" customHeight="false" outlineLevel="0" collapsed="false">
      <c r="A135" s="14" t="n">
        <v>46295</v>
      </c>
      <c r="B135" s="15" t="s">
        <v>64</v>
      </c>
      <c r="C135" s="21" t="n">
        <v>0.6875</v>
      </c>
      <c r="D135" s="15" t="s">
        <v>80</v>
      </c>
      <c r="E135" s="15" t="s">
        <v>62</v>
      </c>
      <c r="F135" s="23" t="n">
        <v>84.9</v>
      </c>
      <c r="G135" s="17" t="str">
        <f aca="false">IFERROR(INDEX(Plan!$F$38:$F$51,MATCH(B135&amp;"|"&amp;D135&amp;"|"&amp;E135,Plan!$G$38:$G$51,0)),INDEX(Plan!$F$38:$F$51,MATCH(B135&amp;"|"&amp;D135&amp;"|All",Plan!$G$38:$G$51,0)))</f>
        <v>A</v>
      </c>
      <c r="H135" s="17" t="n">
        <f aca="false">IFERROR(INDEX(Plan!$D$38:$D$51,MATCH(B135&amp;"|"&amp;D135&amp;"|"&amp;E135,Plan!$G$38:$G$51,0)),INDEX(Plan!$D$38:$D$51,MATCH(B135&amp;"|"&amp;D135&amp;"|All",Plan!$G$38:$G$51,0)))</f>
        <v>80</v>
      </c>
      <c r="I135" s="17" t="n">
        <f aca="false">IFERROR(INDEX(Plan!$E$38:$E$51,MATCH(B135&amp;"|"&amp;D135&amp;"|"&amp;E135,Plan!$G$38:$G$51,0)),INDEX(Plan!$E$38:$E$51,MATCH(B135&amp;"|"&amp;D135&amp;"|All",Plan!$G$38:$G$51,0)))</f>
        <v>95</v>
      </c>
      <c r="J135" s="8" t="str">
        <f aca="false">IF(F135="","MISSING",IF(AND(F135&gt;=H135,F135&lt;=I135),"OK","OUT"))</f>
        <v>OK</v>
      </c>
      <c r="K135" s="15" t="s">
        <v>107</v>
      </c>
    </row>
    <row r="136" customFormat="false" ht="15" hidden="false" customHeight="false" outlineLevel="0" collapsed="false">
      <c r="A136" s="14" t="n">
        <v>46295</v>
      </c>
      <c r="B136" s="15" t="s">
        <v>64</v>
      </c>
      <c r="C136" s="21" t="n">
        <v>0.6875</v>
      </c>
      <c r="D136" s="22" t="s">
        <v>82</v>
      </c>
      <c r="E136" s="15" t="s">
        <v>62</v>
      </c>
      <c r="F136" s="23" t="n">
        <v>37.3</v>
      </c>
      <c r="G136" s="17" t="str">
        <f aca="false">IFERROR(INDEX(Plan!$F$38:$F$51,MATCH(B136&amp;"|"&amp;D136&amp;"|"&amp;E136,Plan!$G$38:$G$51,0)),INDEX(Plan!$F$38:$F$51,MATCH(B136&amp;"|"&amp;D136&amp;"|All",Plan!$G$38:$G$51,0)))</f>
        <v>°C</v>
      </c>
      <c r="H136" s="17" t="n">
        <f aca="false">IFERROR(INDEX(Plan!$D$38:$D$51,MATCH(B136&amp;"|"&amp;D136&amp;"|"&amp;E136,Plan!$G$38:$G$51,0)),INDEX(Plan!$D$38:$D$51,MATCH(B136&amp;"|"&amp;D136&amp;"|All",Plan!$G$38:$G$51,0)))</f>
        <v>30</v>
      </c>
      <c r="I136" s="17" t="n">
        <f aca="false">IFERROR(INDEX(Plan!$E$38:$E$51,MATCH(B136&amp;"|"&amp;D136&amp;"|"&amp;E136,Plan!$G$38:$G$51,0)),INDEX(Plan!$E$38:$E$51,MATCH(B136&amp;"|"&amp;D136&amp;"|All",Plan!$G$38:$G$51,0)))</f>
        <v>42</v>
      </c>
      <c r="J136" s="8" t="str">
        <f aca="false">IF(F136="","MISSING",IF(AND(F136&gt;=H136,F136&lt;=I136),"OK","OUT"))</f>
        <v>OK</v>
      </c>
      <c r="K136" s="15" t="s">
        <v>107</v>
      </c>
    </row>
    <row r="137" customFormat="false" ht="15" hidden="false" customHeight="false" outlineLevel="0" collapsed="false">
      <c r="A137" s="14" t="n">
        <v>46295</v>
      </c>
      <c r="B137" s="15" t="s">
        <v>64</v>
      </c>
      <c r="C137" s="21" t="n">
        <v>0.6875</v>
      </c>
      <c r="D137" s="22" t="s">
        <v>84</v>
      </c>
      <c r="E137" s="15" t="s">
        <v>62</v>
      </c>
      <c r="F137" s="23" t="n">
        <v>98.1</v>
      </c>
      <c r="G137" s="17" t="str">
        <f aca="false">IFERROR(INDEX(Plan!$F$38:$F$51,MATCH(B137&amp;"|"&amp;D137&amp;"|"&amp;E137,Plan!$G$38:$G$51,0)),INDEX(Plan!$F$38:$F$51,MATCH(B137&amp;"|"&amp;D137&amp;"|All",Plan!$G$38:$G$51,0)))</f>
        <v>%</v>
      </c>
      <c r="H137" s="17" t="n">
        <f aca="false">IFERROR(INDEX(Plan!$D$38:$D$51,MATCH(B137&amp;"|"&amp;D137&amp;"|"&amp;E137,Plan!$G$38:$G$51,0)),INDEX(Plan!$D$38:$D$51,MATCH(B137&amp;"|"&amp;D137&amp;"|All",Plan!$G$38:$G$51,0)))</f>
        <v>95</v>
      </c>
      <c r="I137" s="17" t="n">
        <f aca="false">IFERROR(INDEX(Plan!$E$38:$E$51,MATCH(B137&amp;"|"&amp;D137&amp;"|"&amp;E137,Plan!$G$38:$G$51,0)),INDEX(Plan!$E$38:$E$51,MATCH(B137&amp;"|"&amp;D137&amp;"|All",Plan!$G$38:$G$51,0)))</f>
        <v>100</v>
      </c>
      <c r="J137" s="8" t="str">
        <f aca="false">IF(F137="","MISSING",IF(AND(F137&gt;=H137,F137&lt;=I137),"OK","OUT"))</f>
        <v>OK</v>
      </c>
      <c r="K137" s="15" t="s">
        <v>107</v>
      </c>
    </row>
    <row r="138" customFormat="false" ht="15" hidden="false" customHeight="false" outlineLevel="0" collapsed="false">
      <c r="A138" s="14" t="n">
        <v>46295</v>
      </c>
      <c r="B138" s="15" t="s">
        <v>64</v>
      </c>
      <c r="C138" s="21" t="n">
        <v>0.6875</v>
      </c>
      <c r="D138" s="15" t="s">
        <v>85</v>
      </c>
      <c r="E138" s="15" t="s">
        <v>62</v>
      </c>
      <c r="F138" s="23" t="n">
        <v>1.5</v>
      </c>
      <c r="G138" s="17" t="str">
        <f aca="false">IFERROR(INDEX(Plan!$F$38:$F$51,MATCH(B138&amp;"|"&amp;D138&amp;"|"&amp;E138,Plan!$G$38:$G$51,0)),INDEX(Plan!$F$38:$F$51,MATCH(B138&amp;"|"&amp;D138&amp;"|All",Plan!$G$38:$G$51,0)))</f>
        <v>hours</v>
      </c>
      <c r="H138" s="17" t="n">
        <f aca="false">IFERROR(INDEX(Plan!$D$38:$D$51,MATCH(B138&amp;"|"&amp;D138&amp;"|"&amp;E138,Plan!$G$38:$G$51,0)),INDEX(Plan!$D$38:$D$51,MATCH(B138&amp;"|"&amp;D138&amp;"|All",Plan!$G$38:$G$51,0)))</f>
        <v>0</v>
      </c>
      <c r="I138" s="17" t="n">
        <f aca="false">IFERROR(INDEX(Plan!$E$38:$E$51,MATCH(B138&amp;"|"&amp;D138&amp;"|"&amp;E138,Plan!$G$38:$G$51,0)),INDEX(Plan!$E$38:$E$51,MATCH(B138&amp;"|"&amp;D138&amp;"|All",Plan!$G$38:$G$51,0)))</f>
        <v>400</v>
      </c>
      <c r="J138" s="8" t="str">
        <f aca="false">IF(F138="","MISSING",IF(AND(F138&gt;=H138,F138&lt;=I138),"OK","OUT"))</f>
        <v>OK</v>
      </c>
      <c r="K138" s="15" t="s">
        <v>107</v>
      </c>
    </row>
    <row r="139" customFormat="false" ht="15" hidden="false" customHeight="false" outlineLevel="0" collapsed="false">
      <c r="A139" s="14" t="n">
        <v>46295</v>
      </c>
      <c r="B139" s="15" t="s">
        <v>64</v>
      </c>
      <c r="C139" s="21" t="n">
        <v>0.694444444444444</v>
      </c>
      <c r="D139" s="15" t="s">
        <v>79</v>
      </c>
      <c r="E139" s="15" t="s">
        <v>62</v>
      </c>
      <c r="F139" s="16" t="n">
        <v>1030</v>
      </c>
      <c r="G139" s="17" t="str">
        <f aca="false">IFERROR(INDEX(Plan!$F$38:$F$51,MATCH(B139&amp;"|"&amp;D139&amp;"|"&amp;E139,Plan!$G$38:$G$51,0)),INDEX(Plan!$F$38:$F$51,MATCH(B139&amp;"|"&amp;D139&amp;"|All",Plan!$G$38:$G$51,0)))</f>
        <v>kg/hr</v>
      </c>
      <c r="H139" s="17" t="n">
        <f aca="false">IFERROR(INDEX(Plan!$D$38:$D$51,MATCH(B139&amp;"|"&amp;D139&amp;"|"&amp;E139,Plan!$G$38:$G$51,0)),INDEX(Plan!$D$38:$D$51,MATCH(B139&amp;"|"&amp;D139&amp;"|All",Plan!$G$38:$G$51,0)))</f>
        <v>1000</v>
      </c>
      <c r="I139" s="17" t="n">
        <f aca="false">IFERROR(INDEX(Plan!$E$38:$E$51,MATCH(B139&amp;"|"&amp;D139&amp;"|"&amp;E139,Plan!$G$38:$G$51,0)),INDEX(Plan!$E$38:$E$51,MATCH(B139&amp;"|"&amp;D139&amp;"|All",Plan!$G$38:$G$51,0)))</f>
        <v>1060</v>
      </c>
      <c r="J139" s="8" t="str">
        <f aca="false">IF(F139="","MISSING",IF(AND(F139&gt;=H139,F139&lt;=I139),"OK","OUT"))</f>
        <v>OK</v>
      </c>
      <c r="K139" s="15" t="s">
        <v>107</v>
      </c>
    </row>
    <row r="140" customFormat="false" ht="15" hidden="false" customHeight="false" outlineLevel="0" collapsed="false">
      <c r="A140" s="14" t="n">
        <v>46295</v>
      </c>
      <c r="B140" s="15" t="s">
        <v>64</v>
      </c>
      <c r="C140" s="21" t="n">
        <v>0.694444444444444</v>
      </c>
      <c r="D140" s="15" t="s">
        <v>80</v>
      </c>
      <c r="E140" s="15" t="s">
        <v>62</v>
      </c>
      <c r="F140" s="23" t="n">
        <v>88.7</v>
      </c>
      <c r="G140" s="17" t="str">
        <f aca="false">IFERROR(INDEX(Plan!$F$38:$F$51,MATCH(B140&amp;"|"&amp;D140&amp;"|"&amp;E140,Plan!$G$38:$G$51,0)),INDEX(Plan!$F$38:$F$51,MATCH(B140&amp;"|"&amp;D140&amp;"|All",Plan!$G$38:$G$51,0)))</f>
        <v>A</v>
      </c>
      <c r="H140" s="17" t="n">
        <f aca="false">IFERROR(INDEX(Plan!$D$38:$D$51,MATCH(B140&amp;"|"&amp;D140&amp;"|"&amp;E140,Plan!$G$38:$G$51,0)),INDEX(Plan!$D$38:$D$51,MATCH(B140&amp;"|"&amp;D140&amp;"|All",Plan!$G$38:$G$51,0)))</f>
        <v>80</v>
      </c>
      <c r="I140" s="17" t="n">
        <f aca="false">IFERROR(INDEX(Plan!$E$38:$E$51,MATCH(B140&amp;"|"&amp;D140&amp;"|"&amp;E140,Plan!$G$38:$G$51,0)),INDEX(Plan!$E$38:$E$51,MATCH(B140&amp;"|"&amp;D140&amp;"|All",Plan!$G$38:$G$51,0)))</f>
        <v>95</v>
      </c>
      <c r="J140" s="8" t="str">
        <f aca="false">IF(F140="","MISSING",IF(AND(F140&gt;=H140,F140&lt;=I140),"OK","OUT"))</f>
        <v>OK</v>
      </c>
      <c r="K140" s="15" t="s">
        <v>107</v>
      </c>
    </row>
    <row r="141" customFormat="false" ht="15" hidden="false" customHeight="false" outlineLevel="0" collapsed="false">
      <c r="A141" s="14" t="n">
        <v>46295</v>
      </c>
      <c r="B141" s="15" t="s">
        <v>64</v>
      </c>
      <c r="C141" s="21" t="n">
        <v>0.694444444444444</v>
      </c>
      <c r="D141" s="22" t="s">
        <v>82</v>
      </c>
      <c r="E141" s="15" t="s">
        <v>62</v>
      </c>
      <c r="F141" s="23" t="n">
        <v>35.6</v>
      </c>
      <c r="G141" s="17" t="str">
        <f aca="false">IFERROR(INDEX(Plan!$F$38:$F$51,MATCH(B141&amp;"|"&amp;D141&amp;"|"&amp;E141,Plan!$G$38:$G$51,0)),INDEX(Plan!$F$38:$F$51,MATCH(B141&amp;"|"&amp;D141&amp;"|All",Plan!$G$38:$G$51,0)))</f>
        <v>°C</v>
      </c>
      <c r="H141" s="17" t="n">
        <f aca="false">IFERROR(INDEX(Plan!$D$38:$D$51,MATCH(B141&amp;"|"&amp;D141&amp;"|"&amp;E141,Plan!$G$38:$G$51,0)),INDEX(Plan!$D$38:$D$51,MATCH(B141&amp;"|"&amp;D141&amp;"|All",Plan!$G$38:$G$51,0)))</f>
        <v>30</v>
      </c>
      <c r="I141" s="17" t="n">
        <f aca="false">IFERROR(INDEX(Plan!$E$38:$E$51,MATCH(B141&amp;"|"&amp;D141&amp;"|"&amp;E141,Plan!$G$38:$G$51,0)),INDEX(Plan!$E$38:$E$51,MATCH(B141&amp;"|"&amp;D141&amp;"|All",Plan!$G$38:$G$51,0)))</f>
        <v>42</v>
      </c>
      <c r="J141" s="8" t="str">
        <f aca="false">IF(F141="","MISSING",IF(AND(F141&gt;=H141,F141&lt;=I141),"OK","OUT"))</f>
        <v>OK</v>
      </c>
      <c r="K141" s="15" t="s">
        <v>107</v>
      </c>
    </row>
    <row r="142" customFormat="false" ht="15" hidden="false" customHeight="false" outlineLevel="0" collapsed="false">
      <c r="A142" s="14" t="n">
        <v>46295</v>
      </c>
      <c r="B142" s="15" t="s">
        <v>64</v>
      </c>
      <c r="C142" s="21" t="n">
        <v>0.694444444444444</v>
      </c>
      <c r="D142" s="22" t="s">
        <v>84</v>
      </c>
      <c r="E142" s="15" t="s">
        <v>62</v>
      </c>
      <c r="F142" s="23" t="n">
        <v>98</v>
      </c>
      <c r="G142" s="17" t="str">
        <f aca="false">IFERROR(INDEX(Plan!$F$38:$F$51,MATCH(B142&amp;"|"&amp;D142&amp;"|"&amp;E142,Plan!$G$38:$G$51,0)),INDEX(Plan!$F$38:$F$51,MATCH(B142&amp;"|"&amp;D142&amp;"|All",Plan!$G$38:$G$51,0)))</f>
        <v>%</v>
      </c>
      <c r="H142" s="17" t="n">
        <f aca="false">IFERROR(INDEX(Plan!$D$38:$D$51,MATCH(B142&amp;"|"&amp;D142&amp;"|"&amp;E142,Plan!$G$38:$G$51,0)),INDEX(Plan!$D$38:$D$51,MATCH(B142&amp;"|"&amp;D142&amp;"|All",Plan!$G$38:$G$51,0)))</f>
        <v>95</v>
      </c>
      <c r="I142" s="17" t="n">
        <f aca="false">IFERROR(INDEX(Plan!$E$38:$E$51,MATCH(B142&amp;"|"&amp;D142&amp;"|"&amp;E142,Plan!$G$38:$G$51,0)),INDEX(Plan!$E$38:$E$51,MATCH(B142&amp;"|"&amp;D142&amp;"|All",Plan!$G$38:$G$51,0)))</f>
        <v>100</v>
      </c>
      <c r="J142" s="8" t="str">
        <f aca="false">IF(F142="","MISSING",IF(AND(F142&gt;=H142,F142&lt;=I142),"OK","OUT"))</f>
        <v>OK</v>
      </c>
      <c r="K142" s="15" t="s">
        <v>107</v>
      </c>
    </row>
    <row r="143" customFormat="false" ht="15" hidden="false" customHeight="false" outlineLevel="0" collapsed="false">
      <c r="A143" s="14" t="n">
        <v>46295</v>
      </c>
      <c r="B143" s="15" t="s">
        <v>64</v>
      </c>
      <c r="C143" s="21" t="n">
        <v>0.694444444444444</v>
      </c>
      <c r="D143" s="15" t="s">
        <v>85</v>
      </c>
      <c r="E143" s="15" t="s">
        <v>62</v>
      </c>
      <c r="F143" s="23" t="n">
        <v>1.7</v>
      </c>
      <c r="G143" s="17" t="str">
        <f aca="false">IFERROR(INDEX(Plan!$F$38:$F$51,MATCH(B143&amp;"|"&amp;D143&amp;"|"&amp;E143,Plan!$G$38:$G$51,0)),INDEX(Plan!$F$38:$F$51,MATCH(B143&amp;"|"&amp;D143&amp;"|All",Plan!$G$38:$G$51,0)))</f>
        <v>hours</v>
      </c>
      <c r="H143" s="17" t="n">
        <f aca="false">IFERROR(INDEX(Plan!$D$38:$D$51,MATCH(B143&amp;"|"&amp;D143&amp;"|"&amp;E143,Plan!$G$38:$G$51,0)),INDEX(Plan!$D$38:$D$51,MATCH(B143&amp;"|"&amp;D143&amp;"|All",Plan!$G$38:$G$51,0)))</f>
        <v>0</v>
      </c>
      <c r="I143" s="17" t="n">
        <f aca="false">IFERROR(INDEX(Plan!$E$38:$E$51,MATCH(B143&amp;"|"&amp;D143&amp;"|"&amp;E143,Plan!$G$38:$G$51,0)),INDEX(Plan!$E$38:$E$51,MATCH(B143&amp;"|"&amp;D143&amp;"|All",Plan!$G$38:$G$51,0)))</f>
        <v>400</v>
      </c>
      <c r="J143" s="8" t="str">
        <f aca="false">IF(F143="","MISSING",IF(AND(F143&gt;=H143,F143&lt;=I143),"OK","OUT"))</f>
        <v>OK</v>
      </c>
      <c r="K143" s="15" t="s">
        <v>107</v>
      </c>
    </row>
    <row r="144" customFormat="false" ht="15" hidden="false" customHeight="false" outlineLevel="0" collapsed="false">
      <c r="A144" s="14" t="n">
        <v>46297</v>
      </c>
      <c r="B144" s="15" t="s">
        <v>66</v>
      </c>
      <c r="C144" s="21" t="n">
        <v>0.395833333333333</v>
      </c>
      <c r="D144" s="22" t="s">
        <v>89</v>
      </c>
      <c r="E144" s="15" t="s">
        <v>62</v>
      </c>
      <c r="F144" s="16" t="n">
        <v>322</v>
      </c>
      <c r="G144" s="17" t="str">
        <f aca="false">IFERROR(INDEX(Plan!$F$38:$F$51,MATCH(B144&amp;"|"&amp;D144&amp;"|"&amp;E144,Plan!$G$38:$G$51,0)),INDEX(Plan!$F$38:$F$51,MATCH(B144&amp;"|"&amp;D144&amp;"|All",Plan!$G$38:$G$51,0)))</f>
        <v>Pa</v>
      </c>
      <c r="H144" s="17" t="n">
        <f aca="false">IFERROR(INDEX(Plan!$D$38:$D$51,MATCH(B144&amp;"|"&amp;D144&amp;"|"&amp;E144,Plan!$G$38:$G$51,0)),INDEX(Plan!$D$38:$D$51,MATCH(B144&amp;"|"&amp;D144&amp;"|All",Plan!$G$38:$G$51,0)))</f>
        <v>250</v>
      </c>
      <c r="I144" s="17" t="n">
        <f aca="false">IFERROR(INDEX(Plan!$E$38:$E$51,MATCH(B144&amp;"|"&amp;D144&amp;"|"&amp;E144,Plan!$G$38:$G$51,0)),INDEX(Plan!$E$38:$E$51,MATCH(B144&amp;"|"&amp;D144&amp;"|All",Plan!$G$38:$G$51,0)))</f>
        <v>400</v>
      </c>
      <c r="J144" s="8" t="str">
        <f aca="false">IF(F144="","MISSING",IF(AND(F144&gt;=H144,F144&lt;=I144),"OK","OUT"))</f>
        <v>OK</v>
      </c>
      <c r="K144" s="15" t="s">
        <v>108</v>
      </c>
    </row>
    <row r="145" customFormat="false" ht="15" hidden="false" customHeight="false" outlineLevel="0" collapsed="false">
      <c r="A145" s="14" t="n">
        <v>46297</v>
      </c>
      <c r="B145" s="15" t="s">
        <v>66</v>
      </c>
      <c r="C145" s="21" t="n">
        <v>0.395833333333333</v>
      </c>
      <c r="D145" s="15" t="s">
        <v>91</v>
      </c>
      <c r="E145" s="15" t="s">
        <v>62</v>
      </c>
      <c r="F145" s="16" t="n">
        <v>158</v>
      </c>
      <c r="G145" s="17" t="str">
        <f aca="false">IFERROR(INDEX(Plan!$F$38:$F$51,MATCH(B145&amp;"|"&amp;D145&amp;"|"&amp;E145,Plan!$G$38:$G$51,0)),INDEX(Plan!$F$38:$F$51,MATCH(B145&amp;"|"&amp;D145&amp;"|All",Plan!$G$38:$G$51,0)))</f>
        <v>°C</v>
      </c>
      <c r="H145" s="17" t="n">
        <f aca="false">IFERROR(INDEX(Plan!$D$38:$D$51,MATCH(B145&amp;"|"&amp;D145&amp;"|"&amp;E145,Plan!$G$38:$G$51,0)),INDEX(Plan!$D$38:$D$51,MATCH(B145&amp;"|"&amp;D145&amp;"|All",Plan!$G$38:$G$51,0)))</f>
        <v>150</v>
      </c>
      <c r="I145" s="17" t="n">
        <f aca="false">IFERROR(INDEX(Plan!$E$38:$E$51,MATCH(B145&amp;"|"&amp;D145&amp;"|"&amp;E145,Plan!$G$38:$G$51,0)),INDEX(Plan!$E$38:$E$51,MATCH(B145&amp;"|"&amp;D145&amp;"|All",Plan!$G$38:$G$51,0)))</f>
        <v>165</v>
      </c>
      <c r="J145" s="8" t="str">
        <f aca="false">IF(F145="","MISSING",IF(AND(F145&gt;=H145,F145&lt;=I145),"OK","OUT"))</f>
        <v>OK</v>
      </c>
      <c r="K145" s="15" t="s">
        <v>108</v>
      </c>
    </row>
    <row r="146" customFormat="false" ht="15" hidden="false" customHeight="false" outlineLevel="0" collapsed="false">
      <c r="A146" s="14" t="n">
        <v>46297</v>
      </c>
      <c r="B146" s="15" t="s">
        <v>66</v>
      </c>
      <c r="C146" s="21" t="n">
        <v>0.395833333333333</v>
      </c>
      <c r="D146" s="15" t="s">
        <v>92</v>
      </c>
      <c r="E146" s="15" t="s">
        <v>62</v>
      </c>
      <c r="F146" s="16" t="n">
        <v>40</v>
      </c>
      <c r="G146" s="17" t="str">
        <f aca="false">IFERROR(INDEX(Plan!$F$38:$F$51,MATCH(B146&amp;"|"&amp;D146&amp;"|"&amp;E146,Plan!$G$38:$G$51,0)),INDEX(Plan!$F$38:$F$51,MATCH(B146&amp;"|"&amp;D146&amp;"|All",Plan!$G$38:$G$51,0)))</f>
        <v>pouches/min</v>
      </c>
      <c r="H146" s="17" t="n">
        <f aca="false">IFERROR(INDEX(Plan!$D$38:$D$51,MATCH(B146&amp;"|"&amp;D146&amp;"|"&amp;E146,Plan!$G$38:$G$51,0)),INDEX(Plan!$D$38:$D$51,MATCH(B146&amp;"|"&amp;D146&amp;"|All",Plan!$G$38:$G$51,0)))</f>
        <v>38</v>
      </c>
      <c r="I146" s="17" t="n">
        <f aca="false">IFERROR(INDEX(Plan!$E$38:$E$51,MATCH(B146&amp;"|"&amp;D146&amp;"|"&amp;E146,Plan!$G$38:$G$51,0)),INDEX(Plan!$E$38:$E$51,MATCH(B146&amp;"|"&amp;D146&amp;"|All",Plan!$G$38:$G$51,0)))</f>
        <v>42</v>
      </c>
      <c r="J146" s="8" t="str">
        <f aca="false">IF(F146="","MISSING",IF(AND(F146&gt;=H146,F146&lt;=I146),"OK","OUT"))</f>
        <v>OK</v>
      </c>
      <c r="K146" s="15" t="s">
        <v>108</v>
      </c>
    </row>
    <row r="147" customFormat="false" ht="15" hidden="false" customHeight="false" outlineLevel="0" collapsed="false">
      <c r="A147" s="14" t="n">
        <v>46297</v>
      </c>
      <c r="B147" s="15" t="s">
        <v>66</v>
      </c>
      <c r="C147" s="21" t="n">
        <v>0.395833333333333</v>
      </c>
      <c r="D147" s="22" t="s">
        <v>94</v>
      </c>
      <c r="E147" s="15" t="s">
        <v>62</v>
      </c>
      <c r="F147" s="23" t="n">
        <v>201.3</v>
      </c>
      <c r="G147" s="17" t="str">
        <f aca="false">IFERROR(INDEX(Plan!$F$38:$F$51,MATCH(B147&amp;"|"&amp;D147&amp;"|"&amp;E147,Plan!$G$38:$G$51,0)),INDEX(Plan!$F$38:$F$51,MATCH(B147&amp;"|"&amp;D147&amp;"|All",Plan!$G$38:$G$51,0)))</f>
        <v>g</v>
      </c>
      <c r="H147" s="17" t="n">
        <f aca="false">IFERROR(INDEX(Plan!$D$38:$D$51,MATCH(B147&amp;"|"&amp;D147&amp;"|"&amp;E147,Plan!$G$38:$G$51,0)),INDEX(Plan!$D$38:$D$51,MATCH(B147&amp;"|"&amp;D147&amp;"|All",Plan!$G$38:$G$51,0)))</f>
        <v>200</v>
      </c>
      <c r="I147" s="17" t="n">
        <f aca="false">IFERROR(INDEX(Plan!$E$38:$E$51,MATCH(B147&amp;"|"&amp;D147&amp;"|"&amp;E147,Plan!$G$38:$G$51,0)),INDEX(Plan!$E$38:$E$51,MATCH(B147&amp;"|"&amp;D147&amp;"|All",Plan!$G$38:$G$51,0)))</f>
        <v>203</v>
      </c>
      <c r="J147" s="8" t="str">
        <f aca="false">IF(F147="","MISSING",IF(AND(F147&gt;=H147,F147&lt;=I147),"OK","OUT"))</f>
        <v>OK</v>
      </c>
      <c r="K147" s="15" t="s">
        <v>108</v>
      </c>
    </row>
    <row r="148" customFormat="false" ht="15" hidden="false" customHeight="false" outlineLevel="0" collapsed="false">
      <c r="A148" s="14" t="n">
        <v>46297</v>
      </c>
      <c r="B148" s="15" t="s">
        <v>66</v>
      </c>
      <c r="C148" s="21" t="n">
        <v>0.416666666666667</v>
      </c>
      <c r="D148" s="22" t="s">
        <v>89</v>
      </c>
      <c r="E148" s="15" t="s">
        <v>62</v>
      </c>
      <c r="F148" s="16" t="n">
        <v>318</v>
      </c>
      <c r="G148" s="17" t="str">
        <f aca="false">IFERROR(INDEX(Plan!$F$38:$F$51,MATCH(B148&amp;"|"&amp;D148&amp;"|"&amp;E148,Plan!$G$38:$G$51,0)),INDEX(Plan!$F$38:$F$51,MATCH(B148&amp;"|"&amp;D148&amp;"|All",Plan!$G$38:$G$51,0)))</f>
        <v>Pa</v>
      </c>
      <c r="H148" s="17" t="n">
        <f aca="false">IFERROR(INDEX(Plan!$D$38:$D$51,MATCH(B148&amp;"|"&amp;D148&amp;"|"&amp;E148,Plan!$G$38:$G$51,0)),INDEX(Plan!$D$38:$D$51,MATCH(B148&amp;"|"&amp;D148&amp;"|All",Plan!$G$38:$G$51,0)))</f>
        <v>250</v>
      </c>
      <c r="I148" s="17" t="n">
        <f aca="false">IFERROR(INDEX(Plan!$E$38:$E$51,MATCH(B148&amp;"|"&amp;D148&amp;"|"&amp;E148,Plan!$G$38:$G$51,0)),INDEX(Plan!$E$38:$E$51,MATCH(B148&amp;"|"&amp;D148&amp;"|All",Plan!$G$38:$G$51,0)))</f>
        <v>400</v>
      </c>
      <c r="J148" s="8" t="str">
        <f aca="false">IF(F148="","MISSING",IF(AND(F148&gt;=H148,F148&lt;=I148),"OK","OUT"))</f>
        <v>OK</v>
      </c>
      <c r="K148" s="15" t="s">
        <v>108</v>
      </c>
    </row>
    <row r="149" customFormat="false" ht="15" hidden="false" customHeight="false" outlineLevel="0" collapsed="false">
      <c r="A149" s="14" t="n">
        <v>46297</v>
      </c>
      <c r="B149" s="15" t="s">
        <v>66</v>
      </c>
      <c r="C149" s="21" t="n">
        <v>0.416666666666667</v>
      </c>
      <c r="D149" s="15" t="s">
        <v>91</v>
      </c>
      <c r="E149" s="15" t="s">
        <v>62</v>
      </c>
      <c r="F149" s="16" t="n">
        <v>158</v>
      </c>
      <c r="G149" s="17" t="str">
        <f aca="false">IFERROR(INDEX(Plan!$F$38:$F$51,MATCH(B149&amp;"|"&amp;D149&amp;"|"&amp;E149,Plan!$G$38:$G$51,0)),INDEX(Plan!$F$38:$F$51,MATCH(B149&amp;"|"&amp;D149&amp;"|All",Plan!$G$38:$G$51,0)))</f>
        <v>°C</v>
      </c>
      <c r="H149" s="17" t="n">
        <f aca="false">IFERROR(INDEX(Plan!$D$38:$D$51,MATCH(B149&amp;"|"&amp;D149&amp;"|"&amp;E149,Plan!$G$38:$G$51,0)),INDEX(Plan!$D$38:$D$51,MATCH(B149&amp;"|"&amp;D149&amp;"|All",Plan!$G$38:$G$51,0)))</f>
        <v>150</v>
      </c>
      <c r="I149" s="17" t="n">
        <f aca="false">IFERROR(INDEX(Plan!$E$38:$E$51,MATCH(B149&amp;"|"&amp;D149&amp;"|"&amp;E149,Plan!$G$38:$G$51,0)),INDEX(Plan!$E$38:$E$51,MATCH(B149&amp;"|"&amp;D149&amp;"|All",Plan!$G$38:$G$51,0)))</f>
        <v>165</v>
      </c>
      <c r="J149" s="8" t="str">
        <f aca="false">IF(F149="","MISSING",IF(AND(F149&gt;=H149,F149&lt;=I149),"OK","OUT"))</f>
        <v>OK</v>
      </c>
      <c r="K149" s="15" t="s">
        <v>108</v>
      </c>
    </row>
    <row r="150" customFormat="false" ht="15" hidden="false" customHeight="false" outlineLevel="0" collapsed="false">
      <c r="A150" s="14" t="n">
        <v>46297</v>
      </c>
      <c r="B150" s="15" t="s">
        <v>66</v>
      </c>
      <c r="C150" s="21" t="n">
        <v>0.416666666666667</v>
      </c>
      <c r="D150" s="15" t="s">
        <v>92</v>
      </c>
      <c r="E150" s="15" t="s">
        <v>62</v>
      </c>
      <c r="F150" s="16" t="n">
        <v>40</v>
      </c>
      <c r="G150" s="17" t="str">
        <f aca="false">IFERROR(INDEX(Plan!$F$38:$F$51,MATCH(B150&amp;"|"&amp;D150&amp;"|"&amp;E150,Plan!$G$38:$G$51,0)),INDEX(Plan!$F$38:$F$51,MATCH(B150&amp;"|"&amp;D150&amp;"|All",Plan!$G$38:$G$51,0)))</f>
        <v>pouches/min</v>
      </c>
      <c r="H150" s="17" t="n">
        <f aca="false">IFERROR(INDEX(Plan!$D$38:$D$51,MATCH(B150&amp;"|"&amp;D150&amp;"|"&amp;E150,Plan!$G$38:$G$51,0)),INDEX(Plan!$D$38:$D$51,MATCH(B150&amp;"|"&amp;D150&amp;"|All",Plan!$G$38:$G$51,0)))</f>
        <v>38</v>
      </c>
      <c r="I150" s="17" t="n">
        <f aca="false">IFERROR(INDEX(Plan!$E$38:$E$51,MATCH(B150&amp;"|"&amp;D150&amp;"|"&amp;E150,Plan!$G$38:$G$51,0)),INDEX(Plan!$E$38:$E$51,MATCH(B150&amp;"|"&amp;D150&amp;"|All",Plan!$G$38:$G$51,0)))</f>
        <v>42</v>
      </c>
      <c r="J150" s="8" t="str">
        <f aca="false">IF(F150="","MISSING",IF(AND(F150&gt;=H150,F150&lt;=I150),"OK","OUT"))</f>
        <v>OK</v>
      </c>
      <c r="K150" s="15" t="s">
        <v>108</v>
      </c>
    </row>
    <row r="151" customFormat="false" ht="15" hidden="false" customHeight="false" outlineLevel="0" collapsed="false">
      <c r="A151" s="14" t="n">
        <v>46297</v>
      </c>
      <c r="B151" s="15" t="s">
        <v>66</v>
      </c>
      <c r="C151" s="21" t="n">
        <v>0.416666666666667</v>
      </c>
      <c r="D151" s="22" t="s">
        <v>94</v>
      </c>
      <c r="E151" s="15" t="s">
        <v>62</v>
      </c>
      <c r="F151" s="23" t="n">
        <v>201.5</v>
      </c>
      <c r="G151" s="17" t="str">
        <f aca="false">IFERROR(INDEX(Plan!$F$38:$F$51,MATCH(B151&amp;"|"&amp;D151&amp;"|"&amp;E151,Plan!$G$38:$G$51,0)),INDEX(Plan!$F$38:$F$51,MATCH(B151&amp;"|"&amp;D151&amp;"|All",Plan!$G$38:$G$51,0)))</f>
        <v>g</v>
      </c>
      <c r="H151" s="17" t="n">
        <f aca="false">IFERROR(INDEX(Plan!$D$38:$D$51,MATCH(B151&amp;"|"&amp;D151&amp;"|"&amp;E151,Plan!$G$38:$G$51,0)),INDEX(Plan!$D$38:$D$51,MATCH(B151&amp;"|"&amp;D151&amp;"|All",Plan!$G$38:$G$51,0)))</f>
        <v>200</v>
      </c>
      <c r="I151" s="17" t="n">
        <f aca="false">IFERROR(INDEX(Plan!$E$38:$E$51,MATCH(B151&amp;"|"&amp;D151&amp;"|"&amp;E151,Plan!$G$38:$G$51,0)),INDEX(Plan!$E$38:$E$51,MATCH(B151&amp;"|"&amp;D151&amp;"|All",Plan!$G$38:$G$51,0)))</f>
        <v>203</v>
      </c>
      <c r="J151" s="8" t="str">
        <f aca="false">IF(F151="","MISSING",IF(AND(F151&gt;=H151,F151&lt;=I151),"OK","OUT"))</f>
        <v>OK</v>
      </c>
      <c r="K151" s="15" t="s">
        <v>108</v>
      </c>
    </row>
    <row r="152" customFormat="false" ht="15" hidden="false" customHeight="false" outlineLevel="0" collapsed="false">
      <c r="A152" s="14" t="n">
        <v>46297</v>
      </c>
      <c r="B152" s="15" t="s">
        <v>66</v>
      </c>
      <c r="C152" s="21" t="n">
        <v>0.4375</v>
      </c>
      <c r="D152" s="22" t="s">
        <v>89</v>
      </c>
      <c r="E152" s="15" t="s">
        <v>62</v>
      </c>
      <c r="F152" s="16" t="n">
        <v>284</v>
      </c>
      <c r="G152" s="17" t="str">
        <f aca="false">IFERROR(INDEX(Plan!$F$38:$F$51,MATCH(B152&amp;"|"&amp;D152&amp;"|"&amp;E152,Plan!$G$38:$G$51,0)),INDEX(Plan!$F$38:$F$51,MATCH(B152&amp;"|"&amp;D152&amp;"|All",Plan!$G$38:$G$51,0)))</f>
        <v>Pa</v>
      </c>
      <c r="H152" s="17" t="n">
        <f aca="false">IFERROR(INDEX(Plan!$D$38:$D$51,MATCH(B152&amp;"|"&amp;D152&amp;"|"&amp;E152,Plan!$G$38:$G$51,0)),INDEX(Plan!$D$38:$D$51,MATCH(B152&amp;"|"&amp;D152&amp;"|All",Plan!$G$38:$G$51,0)))</f>
        <v>250</v>
      </c>
      <c r="I152" s="17" t="n">
        <f aca="false">IFERROR(INDEX(Plan!$E$38:$E$51,MATCH(B152&amp;"|"&amp;D152&amp;"|"&amp;E152,Plan!$G$38:$G$51,0)),INDEX(Plan!$E$38:$E$51,MATCH(B152&amp;"|"&amp;D152&amp;"|All",Plan!$G$38:$G$51,0)))</f>
        <v>400</v>
      </c>
      <c r="J152" s="8" t="str">
        <f aca="false">IF(F152="","MISSING",IF(AND(F152&gt;=H152,F152&lt;=I152),"OK","OUT"))</f>
        <v>OK</v>
      </c>
      <c r="K152" s="15" t="s">
        <v>108</v>
      </c>
    </row>
    <row r="153" customFormat="false" ht="15" hidden="false" customHeight="false" outlineLevel="0" collapsed="false">
      <c r="A153" s="14" t="n">
        <v>46297</v>
      </c>
      <c r="B153" s="15" t="s">
        <v>66</v>
      </c>
      <c r="C153" s="21" t="n">
        <v>0.4375</v>
      </c>
      <c r="D153" s="15" t="s">
        <v>91</v>
      </c>
      <c r="E153" s="15" t="s">
        <v>62</v>
      </c>
      <c r="F153" s="16" t="n">
        <v>158</v>
      </c>
      <c r="G153" s="17" t="str">
        <f aca="false">IFERROR(INDEX(Plan!$F$38:$F$51,MATCH(B153&amp;"|"&amp;D153&amp;"|"&amp;E153,Plan!$G$38:$G$51,0)),INDEX(Plan!$F$38:$F$51,MATCH(B153&amp;"|"&amp;D153&amp;"|All",Plan!$G$38:$G$51,0)))</f>
        <v>°C</v>
      </c>
      <c r="H153" s="17" t="n">
        <f aca="false">IFERROR(INDEX(Plan!$D$38:$D$51,MATCH(B153&amp;"|"&amp;D153&amp;"|"&amp;E153,Plan!$G$38:$G$51,0)),INDEX(Plan!$D$38:$D$51,MATCH(B153&amp;"|"&amp;D153&amp;"|All",Plan!$G$38:$G$51,0)))</f>
        <v>150</v>
      </c>
      <c r="I153" s="17" t="n">
        <f aca="false">IFERROR(INDEX(Plan!$E$38:$E$51,MATCH(B153&amp;"|"&amp;D153&amp;"|"&amp;E153,Plan!$G$38:$G$51,0)),INDEX(Plan!$E$38:$E$51,MATCH(B153&amp;"|"&amp;D153&amp;"|All",Plan!$G$38:$G$51,0)))</f>
        <v>165</v>
      </c>
      <c r="J153" s="8" t="str">
        <f aca="false">IF(F153="","MISSING",IF(AND(F153&gt;=H153,F153&lt;=I153),"OK","OUT"))</f>
        <v>OK</v>
      </c>
      <c r="K153" s="15" t="s">
        <v>108</v>
      </c>
    </row>
    <row r="154" customFormat="false" ht="15" hidden="false" customHeight="false" outlineLevel="0" collapsed="false">
      <c r="A154" s="14" t="n">
        <v>46297</v>
      </c>
      <c r="B154" s="15" t="s">
        <v>66</v>
      </c>
      <c r="C154" s="21" t="n">
        <v>0.4375</v>
      </c>
      <c r="D154" s="15" t="s">
        <v>92</v>
      </c>
      <c r="E154" s="15" t="s">
        <v>62</v>
      </c>
      <c r="F154" s="16" t="n">
        <v>40</v>
      </c>
      <c r="G154" s="17" t="str">
        <f aca="false">IFERROR(INDEX(Plan!$F$38:$F$51,MATCH(B154&amp;"|"&amp;D154&amp;"|"&amp;E154,Plan!$G$38:$G$51,0)),INDEX(Plan!$F$38:$F$51,MATCH(B154&amp;"|"&amp;D154&amp;"|All",Plan!$G$38:$G$51,0)))</f>
        <v>pouches/min</v>
      </c>
      <c r="H154" s="17" t="n">
        <f aca="false">IFERROR(INDEX(Plan!$D$38:$D$51,MATCH(B154&amp;"|"&amp;D154&amp;"|"&amp;E154,Plan!$G$38:$G$51,0)),INDEX(Plan!$D$38:$D$51,MATCH(B154&amp;"|"&amp;D154&amp;"|All",Plan!$G$38:$G$51,0)))</f>
        <v>38</v>
      </c>
      <c r="I154" s="17" t="n">
        <f aca="false">IFERROR(INDEX(Plan!$E$38:$E$51,MATCH(B154&amp;"|"&amp;D154&amp;"|"&amp;E154,Plan!$G$38:$G$51,0)),INDEX(Plan!$E$38:$E$51,MATCH(B154&amp;"|"&amp;D154&amp;"|All",Plan!$G$38:$G$51,0)))</f>
        <v>42</v>
      </c>
      <c r="J154" s="8" t="str">
        <f aca="false">IF(F154="","MISSING",IF(AND(F154&gt;=H154,F154&lt;=I154),"OK","OUT"))</f>
        <v>OK</v>
      </c>
      <c r="K154" s="15" t="s">
        <v>108</v>
      </c>
    </row>
    <row r="155" customFormat="false" ht="15" hidden="false" customHeight="false" outlineLevel="0" collapsed="false">
      <c r="A155" s="14" t="n">
        <v>46297</v>
      </c>
      <c r="B155" s="15" t="s">
        <v>66</v>
      </c>
      <c r="C155" s="21" t="n">
        <v>0.4375</v>
      </c>
      <c r="D155" s="22" t="s">
        <v>94</v>
      </c>
      <c r="E155" s="15" t="s">
        <v>62</v>
      </c>
      <c r="F155" s="23" t="n">
        <v>201.8</v>
      </c>
      <c r="G155" s="17" t="str">
        <f aca="false">IFERROR(INDEX(Plan!$F$38:$F$51,MATCH(B155&amp;"|"&amp;D155&amp;"|"&amp;E155,Plan!$G$38:$G$51,0)),INDEX(Plan!$F$38:$F$51,MATCH(B155&amp;"|"&amp;D155&amp;"|All",Plan!$G$38:$G$51,0)))</f>
        <v>g</v>
      </c>
      <c r="H155" s="17" t="n">
        <f aca="false">IFERROR(INDEX(Plan!$D$38:$D$51,MATCH(B155&amp;"|"&amp;D155&amp;"|"&amp;E155,Plan!$G$38:$G$51,0)),INDEX(Plan!$D$38:$D$51,MATCH(B155&amp;"|"&amp;D155&amp;"|All",Plan!$G$38:$G$51,0)))</f>
        <v>200</v>
      </c>
      <c r="I155" s="17" t="n">
        <f aca="false">IFERROR(INDEX(Plan!$E$38:$E$51,MATCH(B155&amp;"|"&amp;D155&amp;"|"&amp;E155,Plan!$G$38:$G$51,0)),INDEX(Plan!$E$38:$E$51,MATCH(B155&amp;"|"&amp;D155&amp;"|All",Plan!$G$38:$G$51,0)))</f>
        <v>203</v>
      </c>
      <c r="J155" s="8" t="str">
        <f aca="false">IF(F155="","MISSING",IF(AND(F155&gt;=H155,F155&lt;=I155),"OK","OUT"))</f>
        <v>OK</v>
      </c>
      <c r="K155" s="15" t="s">
        <v>108</v>
      </c>
    </row>
    <row r="156" customFormat="false" ht="15" hidden="false" customHeight="false" outlineLevel="0" collapsed="false">
      <c r="A156" s="14" t="n">
        <v>46297</v>
      </c>
      <c r="B156" s="15" t="s">
        <v>66</v>
      </c>
      <c r="C156" s="21" t="n">
        <v>0.458333333333333</v>
      </c>
      <c r="D156" s="22" t="s">
        <v>89</v>
      </c>
      <c r="E156" s="15" t="s">
        <v>62</v>
      </c>
      <c r="F156" s="16" t="n">
        <v>245</v>
      </c>
      <c r="G156" s="17" t="str">
        <f aca="false">IFERROR(INDEX(Plan!$F$38:$F$51,MATCH(B156&amp;"|"&amp;D156&amp;"|"&amp;E156,Plan!$G$38:$G$51,0)),INDEX(Plan!$F$38:$F$51,MATCH(B156&amp;"|"&amp;D156&amp;"|All",Plan!$G$38:$G$51,0)))</f>
        <v>Pa</v>
      </c>
      <c r="H156" s="17" t="n">
        <f aca="false">IFERROR(INDEX(Plan!$D$38:$D$51,MATCH(B156&amp;"|"&amp;D156&amp;"|"&amp;E156,Plan!$G$38:$G$51,0)),INDEX(Plan!$D$38:$D$51,MATCH(B156&amp;"|"&amp;D156&amp;"|All",Plan!$G$38:$G$51,0)))</f>
        <v>250</v>
      </c>
      <c r="I156" s="17" t="n">
        <f aca="false">IFERROR(INDEX(Plan!$E$38:$E$51,MATCH(B156&amp;"|"&amp;D156&amp;"|"&amp;E156,Plan!$G$38:$G$51,0)),INDEX(Plan!$E$38:$E$51,MATCH(B156&amp;"|"&amp;D156&amp;"|All",Plan!$G$38:$G$51,0)))</f>
        <v>400</v>
      </c>
      <c r="J156" s="8" t="str">
        <f aca="false">IF(F156="","MISSING",IF(AND(F156&gt;=H156,F156&lt;=I156),"OK","OUT"))</f>
        <v>OUT</v>
      </c>
      <c r="K156" s="15" t="s">
        <v>108</v>
      </c>
    </row>
    <row r="157" customFormat="false" ht="15" hidden="false" customHeight="false" outlineLevel="0" collapsed="false">
      <c r="A157" s="14" t="n">
        <v>46297</v>
      </c>
      <c r="B157" s="15" t="s">
        <v>66</v>
      </c>
      <c r="C157" s="21" t="n">
        <v>0.458333333333333</v>
      </c>
      <c r="D157" s="15" t="s">
        <v>91</v>
      </c>
      <c r="E157" s="15" t="s">
        <v>62</v>
      </c>
      <c r="F157" s="16" t="n">
        <v>158</v>
      </c>
      <c r="G157" s="17" t="str">
        <f aca="false">IFERROR(INDEX(Plan!$F$38:$F$51,MATCH(B157&amp;"|"&amp;D157&amp;"|"&amp;E157,Plan!$G$38:$G$51,0)),INDEX(Plan!$F$38:$F$51,MATCH(B157&amp;"|"&amp;D157&amp;"|All",Plan!$G$38:$G$51,0)))</f>
        <v>°C</v>
      </c>
      <c r="H157" s="17" t="n">
        <f aca="false">IFERROR(INDEX(Plan!$D$38:$D$51,MATCH(B157&amp;"|"&amp;D157&amp;"|"&amp;E157,Plan!$G$38:$G$51,0)),INDEX(Plan!$D$38:$D$51,MATCH(B157&amp;"|"&amp;D157&amp;"|All",Plan!$G$38:$G$51,0)))</f>
        <v>150</v>
      </c>
      <c r="I157" s="17" t="n">
        <f aca="false">IFERROR(INDEX(Plan!$E$38:$E$51,MATCH(B157&amp;"|"&amp;D157&amp;"|"&amp;E157,Plan!$G$38:$G$51,0)),INDEX(Plan!$E$38:$E$51,MATCH(B157&amp;"|"&amp;D157&amp;"|All",Plan!$G$38:$G$51,0)))</f>
        <v>165</v>
      </c>
      <c r="J157" s="8" t="str">
        <f aca="false">IF(F157="","MISSING",IF(AND(F157&gt;=H157,F157&lt;=I157),"OK","OUT"))</f>
        <v>OK</v>
      </c>
      <c r="K157" s="15" t="s">
        <v>108</v>
      </c>
    </row>
    <row r="158" customFormat="false" ht="15" hidden="false" customHeight="false" outlineLevel="0" collapsed="false">
      <c r="A158" s="14" t="n">
        <v>46297</v>
      </c>
      <c r="B158" s="15" t="s">
        <v>66</v>
      </c>
      <c r="C158" s="21" t="n">
        <v>0.458333333333333</v>
      </c>
      <c r="D158" s="15" t="s">
        <v>92</v>
      </c>
      <c r="E158" s="15" t="s">
        <v>62</v>
      </c>
      <c r="F158" s="16" t="n">
        <v>40</v>
      </c>
      <c r="G158" s="17" t="str">
        <f aca="false">IFERROR(INDEX(Plan!$F$38:$F$51,MATCH(B158&amp;"|"&amp;D158&amp;"|"&amp;E158,Plan!$G$38:$G$51,0)),INDEX(Plan!$F$38:$F$51,MATCH(B158&amp;"|"&amp;D158&amp;"|All",Plan!$G$38:$G$51,0)))</f>
        <v>pouches/min</v>
      </c>
      <c r="H158" s="17" t="n">
        <f aca="false">IFERROR(INDEX(Plan!$D$38:$D$51,MATCH(B158&amp;"|"&amp;D158&amp;"|"&amp;E158,Plan!$G$38:$G$51,0)),INDEX(Plan!$D$38:$D$51,MATCH(B158&amp;"|"&amp;D158&amp;"|All",Plan!$G$38:$G$51,0)))</f>
        <v>38</v>
      </c>
      <c r="I158" s="17" t="n">
        <f aca="false">IFERROR(INDEX(Plan!$E$38:$E$51,MATCH(B158&amp;"|"&amp;D158&amp;"|"&amp;E158,Plan!$G$38:$G$51,0)),INDEX(Plan!$E$38:$E$51,MATCH(B158&amp;"|"&amp;D158&amp;"|All",Plan!$G$38:$G$51,0)))</f>
        <v>42</v>
      </c>
      <c r="J158" s="8" t="str">
        <f aca="false">IF(F158="","MISSING",IF(AND(F158&gt;=H158,F158&lt;=I158),"OK","OUT"))</f>
        <v>OK</v>
      </c>
      <c r="K158" s="15" t="s">
        <v>108</v>
      </c>
    </row>
    <row r="159" customFormat="false" ht="15" hidden="false" customHeight="false" outlineLevel="0" collapsed="false">
      <c r="A159" s="14" t="n">
        <v>46297</v>
      </c>
      <c r="B159" s="15" t="s">
        <v>66</v>
      </c>
      <c r="C159" s="21" t="n">
        <v>0.458333333333333</v>
      </c>
      <c r="D159" s="22" t="s">
        <v>94</v>
      </c>
      <c r="E159" s="15" t="s">
        <v>62</v>
      </c>
      <c r="F159" s="23" t="n">
        <v>202.1</v>
      </c>
      <c r="G159" s="17" t="str">
        <f aca="false">IFERROR(INDEX(Plan!$F$38:$F$51,MATCH(B159&amp;"|"&amp;D159&amp;"|"&amp;E159,Plan!$G$38:$G$51,0)),INDEX(Plan!$F$38:$F$51,MATCH(B159&amp;"|"&amp;D159&amp;"|All",Plan!$G$38:$G$51,0)))</f>
        <v>g</v>
      </c>
      <c r="H159" s="17" t="n">
        <f aca="false">IFERROR(INDEX(Plan!$D$38:$D$51,MATCH(B159&amp;"|"&amp;D159&amp;"|"&amp;E159,Plan!$G$38:$G$51,0)),INDEX(Plan!$D$38:$D$51,MATCH(B159&amp;"|"&amp;D159&amp;"|All",Plan!$G$38:$G$51,0)))</f>
        <v>200</v>
      </c>
      <c r="I159" s="17" t="n">
        <f aca="false">IFERROR(INDEX(Plan!$E$38:$E$51,MATCH(B159&amp;"|"&amp;D159&amp;"|"&amp;E159,Plan!$G$38:$G$51,0)),INDEX(Plan!$E$38:$E$51,MATCH(B159&amp;"|"&amp;D159&amp;"|All",Plan!$G$38:$G$51,0)))</f>
        <v>203</v>
      </c>
      <c r="J159" s="8" t="str">
        <f aca="false">IF(F159="","MISSING",IF(AND(F159&gt;=H159,F159&lt;=I159),"OK","OUT"))</f>
        <v>OK</v>
      </c>
      <c r="K159" s="15" t="s">
        <v>108</v>
      </c>
    </row>
    <row r="160" customFormat="false" ht="15" hidden="false" customHeight="false" outlineLevel="0" collapsed="false">
      <c r="A160" s="14" t="n">
        <v>46297</v>
      </c>
      <c r="B160" s="15" t="s">
        <v>66</v>
      </c>
      <c r="C160" s="21" t="n">
        <v>0.479166666666667</v>
      </c>
      <c r="D160" s="22" t="s">
        <v>89</v>
      </c>
      <c r="E160" s="15" t="s">
        <v>62</v>
      </c>
      <c r="F160" s="16" t="n">
        <v>214</v>
      </c>
      <c r="G160" s="17" t="str">
        <f aca="false">IFERROR(INDEX(Plan!$F$38:$F$51,MATCH(B160&amp;"|"&amp;D160&amp;"|"&amp;E160,Plan!$G$38:$G$51,0)),INDEX(Plan!$F$38:$F$51,MATCH(B160&amp;"|"&amp;D160&amp;"|All",Plan!$G$38:$G$51,0)))</f>
        <v>Pa</v>
      </c>
      <c r="H160" s="17" t="n">
        <f aca="false">IFERROR(INDEX(Plan!$D$38:$D$51,MATCH(B160&amp;"|"&amp;D160&amp;"|"&amp;E160,Plan!$G$38:$G$51,0)),INDEX(Plan!$D$38:$D$51,MATCH(B160&amp;"|"&amp;D160&amp;"|All",Plan!$G$38:$G$51,0)))</f>
        <v>250</v>
      </c>
      <c r="I160" s="17" t="n">
        <f aca="false">IFERROR(INDEX(Plan!$E$38:$E$51,MATCH(B160&amp;"|"&amp;D160&amp;"|"&amp;E160,Plan!$G$38:$G$51,0)),INDEX(Plan!$E$38:$E$51,MATCH(B160&amp;"|"&amp;D160&amp;"|All",Plan!$G$38:$G$51,0)))</f>
        <v>400</v>
      </c>
      <c r="J160" s="8" t="str">
        <f aca="false">IF(F160="","MISSING",IF(AND(F160&gt;=H160,F160&lt;=I160),"OK","OUT"))</f>
        <v>OUT</v>
      </c>
      <c r="K160" s="15" t="s">
        <v>108</v>
      </c>
    </row>
    <row r="161" customFormat="false" ht="15" hidden="false" customHeight="false" outlineLevel="0" collapsed="false">
      <c r="A161" s="14" t="n">
        <v>46297</v>
      </c>
      <c r="B161" s="15" t="s">
        <v>66</v>
      </c>
      <c r="C161" s="21" t="n">
        <v>0.479166666666667</v>
      </c>
      <c r="D161" s="15" t="s">
        <v>91</v>
      </c>
      <c r="E161" s="15" t="s">
        <v>62</v>
      </c>
      <c r="F161" s="16" t="n">
        <v>158</v>
      </c>
      <c r="G161" s="17" t="str">
        <f aca="false">IFERROR(INDEX(Plan!$F$38:$F$51,MATCH(B161&amp;"|"&amp;D161&amp;"|"&amp;E161,Plan!$G$38:$G$51,0)),INDEX(Plan!$F$38:$F$51,MATCH(B161&amp;"|"&amp;D161&amp;"|All",Plan!$G$38:$G$51,0)))</f>
        <v>°C</v>
      </c>
      <c r="H161" s="17" t="n">
        <f aca="false">IFERROR(INDEX(Plan!$D$38:$D$51,MATCH(B161&amp;"|"&amp;D161&amp;"|"&amp;E161,Plan!$G$38:$G$51,0)),INDEX(Plan!$D$38:$D$51,MATCH(B161&amp;"|"&amp;D161&amp;"|All",Plan!$G$38:$G$51,0)))</f>
        <v>150</v>
      </c>
      <c r="I161" s="17" t="n">
        <f aca="false">IFERROR(INDEX(Plan!$E$38:$E$51,MATCH(B161&amp;"|"&amp;D161&amp;"|"&amp;E161,Plan!$G$38:$G$51,0)),INDEX(Plan!$E$38:$E$51,MATCH(B161&amp;"|"&amp;D161&amp;"|All",Plan!$G$38:$G$51,0)))</f>
        <v>165</v>
      </c>
      <c r="J161" s="8" t="str">
        <f aca="false">IF(F161="","MISSING",IF(AND(F161&gt;=H161,F161&lt;=I161),"OK","OUT"))</f>
        <v>OK</v>
      </c>
      <c r="K161" s="15" t="s">
        <v>108</v>
      </c>
    </row>
    <row r="162" customFormat="false" ht="15" hidden="false" customHeight="false" outlineLevel="0" collapsed="false">
      <c r="A162" s="14" t="n">
        <v>46297</v>
      </c>
      <c r="B162" s="15" t="s">
        <v>66</v>
      </c>
      <c r="C162" s="21" t="n">
        <v>0.479166666666667</v>
      </c>
      <c r="D162" s="15" t="s">
        <v>92</v>
      </c>
      <c r="E162" s="15" t="s">
        <v>62</v>
      </c>
      <c r="F162" s="16" t="n">
        <v>40</v>
      </c>
      <c r="G162" s="17" t="str">
        <f aca="false">IFERROR(INDEX(Plan!$F$38:$F$51,MATCH(B162&amp;"|"&amp;D162&amp;"|"&amp;E162,Plan!$G$38:$G$51,0)),INDEX(Plan!$F$38:$F$51,MATCH(B162&amp;"|"&amp;D162&amp;"|All",Plan!$G$38:$G$51,0)))</f>
        <v>pouches/min</v>
      </c>
      <c r="H162" s="17" t="n">
        <f aca="false">IFERROR(INDEX(Plan!$D$38:$D$51,MATCH(B162&amp;"|"&amp;D162&amp;"|"&amp;E162,Plan!$G$38:$G$51,0)),INDEX(Plan!$D$38:$D$51,MATCH(B162&amp;"|"&amp;D162&amp;"|All",Plan!$G$38:$G$51,0)))</f>
        <v>38</v>
      </c>
      <c r="I162" s="17" t="n">
        <f aca="false">IFERROR(INDEX(Plan!$E$38:$E$51,MATCH(B162&amp;"|"&amp;D162&amp;"|"&amp;E162,Plan!$G$38:$G$51,0)),INDEX(Plan!$E$38:$E$51,MATCH(B162&amp;"|"&amp;D162&amp;"|All",Plan!$G$38:$G$51,0)))</f>
        <v>42</v>
      </c>
      <c r="J162" s="8" t="str">
        <f aca="false">IF(F162="","MISSING",IF(AND(F162&gt;=H162,F162&lt;=I162),"OK","OUT"))</f>
        <v>OK</v>
      </c>
      <c r="K162" s="15" t="s">
        <v>108</v>
      </c>
    </row>
    <row r="163" customFormat="false" ht="15" hidden="false" customHeight="false" outlineLevel="0" collapsed="false">
      <c r="A163" s="14" t="n">
        <v>46297</v>
      </c>
      <c r="B163" s="15" t="s">
        <v>66</v>
      </c>
      <c r="C163" s="21" t="n">
        <v>0.479166666666667</v>
      </c>
      <c r="D163" s="22" t="s">
        <v>94</v>
      </c>
      <c r="E163" s="15" t="s">
        <v>62</v>
      </c>
      <c r="F163" s="23" t="n">
        <v>202.1</v>
      </c>
      <c r="G163" s="17" t="str">
        <f aca="false">IFERROR(INDEX(Plan!$F$38:$F$51,MATCH(B163&amp;"|"&amp;D163&amp;"|"&amp;E163,Plan!$G$38:$G$51,0)),INDEX(Plan!$F$38:$F$51,MATCH(B163&amp;"|"&amp;D163&amp;"|All",Plan!$G$38:$G$51,0)))</f>
        <v>g</v>
      </c>
      <c r="H163" s="17" t="n">
        <f aca="false">IFERROR(INDEX(Plan!$D$38:$D$51,MATCH(B163&amp;"|"&amp;D163&amp;"|"&amp;E163,Plan!$G$38:$G$51,0)),INDEX(Plan!$D$38:$D$51,MATCH(B163&amp;"|"&amp;D163&amp;"|All",Plan!$G$38:$G$51,0)))</f>
        <v>200</v>
      </c>
      <c r="I163" s="17" t="n">
        <f aca="false">IFERROR(INDEX(Plan!$E$38:$E$51,MATCH(B163&amp;"|"&amp;D163&amp;"|"&amp;E163,Plan!$G$38:$G$51,0)),INDEX(Plan!$E$38:$E$51,MATCH(B163&amp;"|"&amp;D163&amp;"|All",Plan!$G$38:$G$51,0)))</f>
        <v>203</v>
      </c>
      <c r="J163" s="8" t="str">
        <f aca="false">IF(F163="","MISSING",IF(AND(F163&gt;=H163,F163&lt;=I163),"OK","OUT"))</f>
        <v>OK</v>
      </c>
      <c r="K163" s="15" t="s">
        <v>108</v>
      </c>
    </row>
    <row r="164" customFormat="false" ht="15" hidden="false" customHeight="false" outlineLevel="0" collapsed="false">
      <c r="A164" s="14" t="n">
        <v>46297</v>
      </c>
      <c r="B164" s="15" t="s">
        <v>66</v>
      </c>
      <c r="C164" s="21" t="n">
        <v>0.5</v>
      </c>
      <c r="D164" s="22" t="s">
        <v>89</v>
      </c>
      <c r="E164" s="15" t="s">
        <v>62</v>
      </c>
      <c r="F164" s="16" t="n">
        <v>176</v>
      </c>
      <c r="G164" s="17" t="str">
        <f aca="false">IFERROR(INDEX(Plan!$F$38:$F$51,MATCH(B164&amp;"|"&amp;D164&amp;"|"&amp;E164,Plan!$G$38:$G$51,0)),INDEX(Plan!$F$38:$F$51,MATCH(B164&amp;"|"&amp;D164&amp;"|All",Plan!$G$38:$G$51,0)))</f>
        <v>Pa</v>
      </c>
      <c r="H164" s="17" t="n">
        <f aca="false">IFERROR(INDEX(Plan!$D$38:$D$51,MATCH(B164&amp;"|"&amp;D164&amp;"|"&amp;E164,Plan!$G$38:$G$51,0)),INDEX(Plan!$D$38:$D$51,MATCH(B164&amp;"|"&amp;D164&amp;"|All",Plan!$G$38:$G$51,0)))</f>
        <v>250</v>
      </c>
      <c r="I164" s="17" t="n">
        <f aca="false">IFERROR(INDEX(Plan!$E$38:$E$51,MATCH(B164&amp;"|"&amp;D164&amp;"|"&amp;E164,Plan!$G$38:$G$51,0)),INDEX(Plan!$E$38:$E$51,MATCH(B164&amp;"|"&amp;D164&amp;"|All",Plan!$G$38:$G$51,0)))</f>
        <v>400</v>
      </c>
      <c r="J164" s="8" t="str">
        <f aca="false">IF(F164="","MISSING",IF(AND(F164&gt;=H164,F164&lt;=I164),"OK","OUT"))</f>
        <v>OUT</v>
      </c>
      <c r="K164" s="15" t="s">
        <v>108</v>
      </c>
    </row>
    <row r="165" customFormat="false" ht="15" hidden="false" customHeight="false" outlineLevel="0" collapsed="false">
      <c r="A165" s="14" t="n">
        <v>46297</v>
      </c>
      <c r="B165" s="15" t="s">
        <v>66</v>
      </c>
      <c r="C165" s="21" t="n">
        <v>0.5</v>
      </c>
      <c r="D165" s="15" t="s">
        <v>91</v>
      </c>
      <c r="E165" s="15" t="s">
        <v>62</v>
      </c>
      <c r="F165" s="16" t="n">
        <v>175</v>
      </c>
      <c r="G165" s="17" t="str">
        <f aca="false">IFERROR(INDEX(Plan!$F$38:$F$51,MATCH(B165&amp;"|"&amp;D165&amp;"|"&amp;E165,Plan!$G$38:$G$51,0)),INDEX(Plan!$F$38:$F$51,MATCH(B165&amp;"|"&amp;D165&amp;"|All",Plan!$G$38:$G$51,0)))</f>
        <v>°C</v>
      </c>
      <c r="H165" s="17" t="n">
        <f aca="false">IFERROR(INDEX(Plan!$D$38:$D$51,MATCH(B165&amp;"|"&amp;D165&amp;"|"&amp;E165,Plan!$G$38:$G$51,0)),INDEX(Plan!$D$38:$D$51,MATCH(B165&amp;"|"&amp;D165&amp;"|All",Plan!$G$38:$G$51,0)))</f>
        <v>150</v>
      </c>
      <c r="I165" s="17" t="n">
        <f aca="false">IFERROR(INDEX(Plan!$E$38:$E$51,MATCH(B165&amp;"|"&amp;D165&amp;"|"&amp;E165,Plan!$G$38:$G$51,0)),INDEX(Plan!$E$38:$E$51,MATCH(B165&amp;"|"&amp;D165&amp;"|All",Plan!$G$38:$G$51,0)))</f>
        <v>165</v>
      </c>
      <c r="J165" s="8" t="str">
        <f aca="false">IF(F165="","MISSING",IF(AND(F165&gt;=H165,F165&lt;=I165),"OK","OUT"))</f>
        <v>OUT</v>
      </c>
      <c r="K165" s="15" t="s">
        <v>108</v>
      </c>
    </row>
    <row r="166" customFormat="false" ht="15" hidden="false" customHeight="false" outlineLevel="0" collapsed="false">
      <c r="A166" s="14" t="n">
        <v>46297</v>
      </c>
      <c r="B166" s="15" t="s">
        <v>66</v>
      </c>
      <c r="C166" s="21" t="n">
        <v>0.5</v>
      </c>
      <c r="D166" s="15" t="s">
        <v>92</v>
      </c>
      <c r="E166" s="15" t="s">
        <v>62</v>
      </c>
      <c r="F166" s="16" t="n">
        <v>40</v>
      </c>
      <c r="G166" s="17" t="str">
        <f aca="false">IFERROR(INDEX(Plan!$F$38:$F$51,MATCH(B166&amp;"|"&amp;D166&amp;"|"&amp;E166,Plan!$G$38:$G$51,0)),INDEX(Plan!$F$38:$F$51,MATCH(B166&amp;"|"&amp;D166&amp;"|All",Plan!$G$38:$G$51,0)))</f>
        <v>pouches/min</v>
      </c>
      <c r="H166" s="17" t="n">
        <f aca="false">IFERROR(INDEX(Plan!$D$38:$D$51,MATCH(B166&amp;"|"&amp;D166&amp;"|"&amp;E166,Plan!$G$38:$G$51,0)),INDEX(Plan!$D$38:$D$51,MATCH(B166&amp;"|"&amp;D166&amp;"|All",Plan!$G$38:$G$51,0)))</f>
        <v>38</v>
      </c>
      <c r="I166" s="17" t="n">
        <f aca="false">IFERROR(INDEX(Plan!$E$38:$E$51,MATCH(B166&amp;"|"&amp;D166&amp;"|"&amp;E166,Plan!$G$38:$G$51,0)),INDEX(Plan!$E$38:$E$51,MATCH(B166&amp;"|"&amp;D166&amp;"|All",Plan!$G$38:$G$51,0)))</f>
        <v>42</v>
      </c>
      <c r="J166" s="8" t="str">
        <f aca="false">IF(F166="","MISSING",IF(AND(F166&gt;=H166,F166&lt;=I166),"OK","OUT"))</f>
        <v>OK</v>
      </c>
      <c r="K166" s="15" t="s">
        <v>108</v>
      </c>
    </row>
    <row r="167" customFormat="false" ht="15" hidden="false" customHeight="false" outlineLevel="0" collapsed="false">
      <c r="A167" s="14" t="n">
        <v>46297</v>
      </c>
      <c r="B167" s="15" t="s">
        <v>66</v>
      </c>
      <c r="C167" s="21" t="n">
        <v>0.5</v>
      </c>
      <c r="D167" s="22" t="s">
        <v>94</v>
      </c>
      <c r="E167" s="15" t="s">
        <v>62</v>
      </c>
      <c r="F167" s="23" t="n">
        <v>201.2</v>
      </c>
      <c r="G167" s="17" t="str">
        <f aca="false">IFERROR(INDEX(Plan!$F$38:$F$51,MATCH(B167&amp;"|"&amp;D167&amp;"|"&amp;E167,Plan!$G$38:$G$51,0)),INDEX(Plan!$F$38:$F$51,MATCH(B167&amp;"|"&amp;D167&amp;"|All",Plan!$G$38:$G$51,0)))</f>
        <v>g</v>
      </c>
      <c r="H167" s="17" t="n">
        <f aca="false">IFERROR(INDEX(Plan!$D$38:$D$51,MATCH(B167&amp;"|"&amp;D167&amp;"|"&amp;E167,Plan!$G$38:$G$51,0)),INDEX(Plan!$D$38:$D$51,MATCH(B167&amp;"|"&amp;D167&amp;"|All",Plan!$G$38:$G$51,0)))</f>
        <v>200</v>
      </c>
      <c r="I167" s="17" t="n">
        <f aca="false">IFERROR(INDEX(Plan!$E$38:$E$51,MATCH(B167&amp;"|"&amp;D167&amp;"|"&amp;E167,Plan!$G$38:$G$51,0)),INDEX(Plan!$E$38:$E$51,MATCH(B167&amp;"|"&amp;D167&amp;"|All",Plan!$G$38:$G$51,0)))</f>
        <v>203</v>
      </c>
      <c r="J167" s="8" t="str">
        <f aca="false">IF(F167="","MISSING",IF(AND(F167&gt;=H167,F167&lt;=I167),"OK","OUT"))</f>
        <v>OK</v>
      </c>
      <c r="K167" s="15" t="s">
        <v>108</v>
      </c>
    </row>
    <row r="168" customFormat="false" ht="15" hidden="false" customHeight="false" outlineLevel="0" collapsed="false">
      <c r="A168" s="14" t="n">
        <v>46297</v>
      </c>
      <c r="B168" s="15" t="s">
        <v>66</v>
      </c>
      <c r="C168" s="21" t="n">
        <v>0.520833333333333</v>
      </c>
      <c r="D168" s="22" t="s">
        <v>89</v>
      </c>
      <c r="E168" s="15" t="s">
        <v>62</v>
      </c>
      <c r="F168" s="16" t="n">
        <v>143</v>
      </c>
      <c r="G168" s="17" t="str">
        <f aca="false">IFERROR(INDEX(Plan!$F$38:$F$51,MATCH(B168&amp;"|"&amp;D168&amp;"|"&amp;E168,Plan!$G$38:$G$51,0)),INDEX(Plan!$F$38:$F$51,MATCH(B168&amp;"|"&amp;D168&amp;"|All",Plan!$G$38:$G$51,0)))</f>
        <v>Pa</v>
      </c>
      <c r="H168" s="17" t="n">
        <f aca="false">IFERROR(INDEX(Plan!$D$38:$D$51,MATCH(B168&amp;"|"&amp;D168&amp;"|"&amp;E168,Plan!$G$38:$G$51,0)),INDEX(Plan!$D$38:$D$51,MATCH(B168&amp;"|"&amp;D168&amp;"|All",Plan!$G$38:$G$51,0)))</f>
        <v>250</v>
      </c>
      <c r="I168" s="17" t="n">
        <f aca="false">IFERROR(INDEX(Plan!$E$38:$E$51,MATCH(B168&amp;"|"&amp;D168&amp;"|"&amp;E168,Plan!$G$38:$G$51,0)),INDEX(Plan!$E$38:$E$51,MATCH(B168&amp;"|"&amp;D168&amp;"|All",Plan!$G$38:$G$51,0)))</f>
        <v>400</v>
      </c>
      <c r="J168" s="8" t="str">
        <f aca="false">IF(F168="","MISSING",IF(AND(F168&gt;=H168,F168&lt;=I168),"OK","OUT"))</f>
        <v>OUT</v>
      </c>
      <c r="K168" s="15" t="s">
        <v>108</v>
      </c>
    </row>
    <row r="169" customFormat="false" ht="15" hidden="false" customHeight="false" outlineLevel="0" collapsed="false">
      <c r="A169" s="14" t="n">
        <v>46297</v>
      </c>
      <c r="B169" s="15" t="s">
        <v>66</v>
      </c>
      <c r="C169" s="21" t="n">
        <v>0.520833333333333</v>
      </c>
      <c r="D169" s="15" t="s">
        <v>91</v>
      </c>
      <c r="E169" s="15" t="s">
        <v>62</v>
      </c>
      <c r="F169" s="16" t="n">
        <v>175</v>
      </c>
      <c r="G169" s="17" t="str">
        <f aca="false">IFERROR(INDEX(Plan!$F$38:$F$51,MATCH(B169&amp;"|"&amp;D169&amp;"|"&amp;E169,Plan!$G$38:$G$51,0)),INDEX(Plan!$F$38:$F$51,MATCH(B169&amp;"|"&amp;D169&amp;"|All",Plan!$G$38:$G$51,0)))</f>
        <v>°C</v>
      </c>
      <c r="H169" s="17" t="n">
        <f aca="false">IFERROR(INDEX(Plan!$D$38:$D$51,MATCH(B169&amp;"|"&amp;D169&amp;"|"&amp;E169,Plan!$G$38:$G$51,0)),INDEX(Plan!$D$38:$D$51,MATCH(B169&amp;"|"&amp;D169&amp;"|All",Plan!$G$38:$G$51,0)))</f>
        <v>150</v>
      </c>
      <c r="I169" s="17" t="n">
        <f aca="false">IFERROR(INDEX(Plan!$E$38:$E$51,MATCH(B169&amp;"|"&amp;D169&amp;"|"&amp;E169,Plan!$G$38:$G$51,0)),INDEX(Plan!$E$38:$E$51,MATCH(B169&amp;"|"&amp;D169&amp;"|All",Plan!$G$38:$G$51,0)))</f>
        <v>165</v>
      </c>
      <c r="J169" s="8" t="str">
        <f aca="false">IF(F169="","MISSING",IF(AND(F169&gt;=H169,F169&lt;=I169),"OK","OUT"))</f>
        <v>OUT</v>
      </c>
      <c r="K169" s="15" t="s">
        <v>108</v>
      </c>
    </row>
    <row r="170" customFormat="false" ht="15" hidden="false" customHeight="false" outlineLevel="0" collapsed="false">
      <c r="A170" s="14" t="n">
        <v>46297</v>
      </c>
      <c r="B170" s="15" t="s">
        <v>66</v>
      </c>
      <c r="C170" s="21" t="n">
        <v>0.520833333333333</v>
      </c>
      <c r="D170" s="15" t="s">
        <v>92</v>
      </c>
      <c r="E170" s="15" t="s">
        <v>62</v>
      </c>
      <c r="F170" s="16" t="n">
        <v>34</v>
      </c>
      <c r="G170" s="17" t="str">
        <f aca="false">IFERROR(INDEX(Plan!$F$38:$F$51,MATCH(B170&amp;"|"&amp;D170&amp;"|"&amp;E170,Plan!$G$38:$G$51,0)),INDEX(Plan!$F$38:$F$51,MATCH(B170&amp;"|"&amp;D170&amp;"|All",Plan!$G$38:$G$51,0)))</f>
        <v>pouches/min</v>
      </c>
      <c r="H170" s="17" t="n">
        <f aca="false">IFERROR(INDEX(Plan!$D$38:$D$51,MATCH(B170&amp;"|"&amp;D170&amp;"|"&amp;E170,Plan!$G$38:$G$51,0)),INDEX(Plan!$D$38:$D$51,MATCH(B170&amp;"|"&amp;D170&amp;"|All",Plan!$G$38:$G$51,0)))</f>
        <v>38</v>
      </c>
      <c r="I170" s="17" t="n">
        <f aca="false">IFERROR(INDEX(Plan!$E$38:$E$51,MATCH(B170&amp;"|"&amp;D170&amp;"|"&amp;E170,Plan!$G$38:$G$51,0)),INDEX(Plan!$E$38:$E$51,MATCH(B170&amp;"|"&amp;D170&amp;"|All",Plan!$G$38:$G$51,0)))</f>
        <v>42</v>
      </c>
      <c r="J170" s="8" t="str">
        <f aca="false">IF(F170="","MISSING",IF(AND(F170&gt;=H170,F170&lt;=I170),"OK","OUT"))</f>
        <v>OUT</v>
      </c>
      <c r="K170" s="15" t="s">
        <v>108</v>
      </c>
    </row>
    <row r="171" customFormat="false" ht="15" hidden="false" customHeight="false" outlineLevel="0" collapsed="false">
      <c r="A171" s="14" t="n">
        <v>46297</v>
      </c>
      <c r="B171" s="15" t="s">
        <v>66</v>
      </c>
      <c r="C171" s="21" t="n">
        <v>0.520833333333333</v>
      </c>
      <c r="D171" s="22" t="s">
        <v>94</v>
      </c>
      <c r="E171" s="15" t="s">
        <v>62</v>
      </c>
      <c r="F171" s="16"/>
      <c r="G171" s="17" t="str">
        <f aca="false">IFERROR(INDEX(Plan!$F$38:$F$51,MATCH(B171&amp;"|"&amp;D171&amp;"|"&amp;E171,Plan!$G$38:$G$51,0)),INDEX(Plan!$F$38:$F$51,MATCH(B171&amp;"|"&amp;D171&amp;"|All",Plan!$G$38:$G$51,0)))</f>
        <v>g</v>
      </c>
      <c r="H171" s="17" t="n">
        <f aca="false">IFERROR(INDEX(Plan!$D$38:$D$51,MATCH(B171&amp;"|"&amp;D171&amp;"|"&amp;E171,Plan!$G$38:$G$51,0)),INDEX(Plan!$D$38:$D$51,MATCH(B171&amp;"|"&amp;D171&amp;"|All",Plan!$G$38:$G$51,0)))</f>
        <v>200</v>
      </c>
      <c r="I171" s="17" t="n">
        <f aca="false">IFERROR(INDEX(Plan!$E$38:$E$51,MATCH(B171&amp;"|"&amp;D171&amp;"|"&amp;E171,Plan!$G$38:$G$51,0)),INDEX(Plan!$E$38:$E$51,MATCH(B171&amp;"|"&amp;D171&amp;"|All",Plan!$G$38:$G$51,0)))</f>
        <v>203</v>
      </c>
      <c r="J171" s="8" t="str">
        <f aca="false">IF(F171="","MISSING",IF(AND(F171&gt;=H171,F171&lt;=I171),"OK","OUT"))</f>
        <v>MISSING</v>
      </c>
      <c r="K171" s="15" t="s">
        <v>108</v>
      </c>
    </row>
    <row r="172" customFormat="false" ht="15" hidden="false" customHeight="false" outlineLevel="0" collapsed="false">
      <c r="A172" s="14" t="n">
        <v>46297</v>
      </c>
      <c r="B172" s="15" t="s">
        <v>66</v>
      </c>
      <c r="C172" s="21" t="n">
        <v>0.541666666666667</v>
      </c>
      <c r="D172" s="22" t="s">
        <v>89</v>
      </c>
      <c r="E172" s="15" t="s">
        <v>62</v>
      </c>
      <c r="F172" s="16" t="n">
        <v>134</v>
      </c>
      <c r="G172" s="17" t="str">
        <f aca="false">IFERROR(INDEX(Plan!$F$38:$F$51,MATCH(B172&amp;"|"&amp;D172&amp;"|"&amp;E172,Plan!$G$38:$G$51,0)),INDEX(Plan!$F$38:$F$51,MATCH(B172&amp;"|"&amp;D172&amp;"|All",Plan!$G$38:$G$51,0)))</f>
        <v>Pa</v>
      </c>
      <c r="H172" s="17" t="n">
        <f aca="false">IFERROR(INDEX(Plan!$D$38:$D$51,MATCH(B172&amp;"|"&amp;D172&amp;"|"&amp;E172,Plan!$G$38:$G$51,0)),INDEX(Plan!$D$38:$D$51,MATCH(B172&amp;"|"&amp;D172&amp;"|All",Plan!$G$38:$G$51,0)))</f>
        <v>250</v>
      </c>
      <c r="I172" s="17" t="n">
        <f aca="false">IFERROR(INDEX(Plan!$E$38:$E$51,MATCH(B172&amp;"|"&amp;D172&amp;"|"&amp;E172,Plan!$G$38:$G$51,0)),INDEX(Plan!$E$38:$E$51,MATCH(B172&amp;"|"&amp;D172&amp;"|All",Plan!$G$38:$G$51,0)))</f>
        <v>400</v>
      </c>
      <c r="J172" s="8" t="str">
        <f aca="false">IF(F172="","MISSING",IF(AND(F172&gt;=H172,F172&lt;=I172),"OK","OUT"))</f>
        <v>OUT</v>
      </c>
      <c r="K172" s="15" t="s">
        <v>108</v>
      </c>
    </row>
    <row r="173" customFormat="false" ht="15" hidden="false" customHeight="false" outlineLevel="0" collapsed="false">
      <c r="A173" s="14" t="n">
        <v>46297</v>
      </c>
      <c r="B173" s="15" t="s">
        <v>66</v>
      </c>
      <c r="C173" s="21" t="n">
        <v>0.541666666666667</v>
      </c>
      <c r="D173" s="15" t="s">
        <v>91</v>
      </c>
      <c r="E173" s="15" t="s">
        <v>62</v>
      </c>
      <c r="F173" s="16" t="n">
        <v>175</v>
      </c>
      <c r="G173" s="17" t="str">
        <f aca="false">IFERROR(INDEX(Plan!$F$38:$F$51,MATCH(B173&amp;"|"&amp;D173&amp;"|"&amp;E173,Plan!$G$38:$G$51,0)),INDEX(Plan!$F$38:$F$51,MATCH(B173&amp;"|"&amp;D173&amp;"|All",Plan!$G$38:$G$51,0)))</f>
        <v>°C</v>
      </c>
      <c r="H173" s="17" t="n">
        <f aca="false">IFERROR(INDEX(Plan!$D$38:$D$51,MATCH(B173&amp;"|"&amp;D173&amp;"|"&amp;E173,Plan!$G$38:$G$51,0)),INDEX(Plan!$D$38:$D$51,MATCH(B173&amp;"|"&amp;D173&amp;"|All",Plan!$G$38:$G$51,0)))</f>
        <v>150</v>
      </c>
      <c r="I173" s="17" t="n">
        <f aca="false">IFERROR(INDEX(Plan!$E$38:$E$51,MATCH(B173&amp;"|"&amp;D173&amp;"|"&amp;E173,Plan!$G$38:$G$51,0)),INDEX(Plan!$E$38:$E$51,MATCH(B173&amp;"|"&amp;D173&amp;"|All",Plan!$G$38:$G$51,0)))</f>
        <v>165</v>
      </c>
      <c r="J173" s="8" t="str">
        <f aca="false">IF(F173="","MISSING",IF(AND(F173&gt;=H173,F173&lt;=I173),"OK","OUT"))</f>
        <v>OUT</v>
      </c>
      <c r="K173" s="15" t="s">
        <v>108</v>
      </c>
    </row>
    <row r="174" customFormat="false" ht="15" hidden="false" customHeight="false" outlineLevel="0" collapsed="false">
      <c r="A174" s="14" t="n">
        <v>46297</v>
      </c>
      <c r="B174" s="15" t="s">
        <v>66</v>
      </c>
      <c r="C174" s="21" t="n">
        <v>0.541666666666667</v>
      </c>
      <c r="D174" s="15" t="s">
        <v>92</v>
      </c>
      <c r="E174" s="15" t="s">
        <v>62</v>
      </c>
      <c r="F174" s="16" t="n">
        <v>34</v>
      </c>
      <c r="G174" s="17" t="str">
        <f aca="false">IFERROR(INDEX(Plan!$F$38:$F$51,MATCH(B174&amp;"|"&amp;D174&amp;"|"&amp;E174,Plan!$G$38:$G$51,0)),INDEX(Plan!$F$38:$F$51,MATCH(B174&amp;"|"&amp;D174&amp;"|All",Plan!$G$38:$G$51,0)))</f>
        <v>pouches/min</v>
      </c>
      <c r="H174" s="17" t="n">
        <f aca="false">IFERROR(INDEX(Plan!$D$38:$D$51,MATCH(B174&amp;"|"&amp;D174&amp;"|"&amp;E174,Plan!$G$38:$G$51,0)),INDEX(Plan!$D$38:$D$51,MATCH(B174&amp;"|"&amp;D174&amp;"|All",Plan!$G$38:$G$51,0)))</f>
        <v>38</v>
      </c>
      <c r="I174" s="17" t="n">
        <f aca="false">IFERROR(INDEX(Plan!$E$38:$E$51,MATCH(B174&amp;"|"&amp;D174&amp;"|"&amp;E174,Plan!$G$38:$G$51,0)),INDEX(Plan!$E$38:$E$51,MATCH(B174&amp;"|"&amp;D174&amp;"|All",Plan!$G$38:$G$51,0)))</f>
        <v>42</v>
      </c>
      <c r="J174" s="8" t="str">
        <f aca="false">IF(F174="","MISSING",IF(AND(F174&gt;=H174,F174&lt;=I174),"OK","OUT"))</f>
        <v>OUT</v>
      </c>
      <c r="K174" s="15" t="s">
        <v>108</v>
      </c>
    </row>
    <row r="175" customFormat="false" ht="15" hidden="false" customHeight="false" outlineLevel="0" collapsed="false">
      <c r="A175" s="14" t="n">
        <v>46297</v>
      </c>
      <c r="B175" s="15" t="s">
        <v>66</v>
      </c>
      <c r="C175" s="21" t="n">
        <v>0.541666666666667</v>
      </c>
      <c r="D175" s="22" t="s">
        <v>94</v>
      </c>
      <c r="E175" s="15" t="s">
        <v>62</v>
      </c>
      <c r="F175" s="23" t="n">
        <v>201.8</v>
      </c>
      <c r="G175" s="17" t="str">
        <f aca="false">IFERROR(INDEX(Plan!$F$38:$F$51,MATCH(B175&amp;"|"&amp;D175&amp;"|"&amp;E175,Plan!$G$38:$G$51,0)),INDEX(Plan!$F$38:$F$51,MATCH(B175&amp;"|"&amp;D175&amp;"|All",Plan!$G$38:$G$51,0)))</f>
        <v>g</v>
      </c>
      <c r="H175" s="17" t="n">
        <f aca="false">IFERROR(INDEX(Plan!$D$38:$D$51,MATCH(B175&amp;"|"&amp;D175&amp;"|"&amp;E175,Plan!$G$38:$G$51,0)),INDEX(Plan!$D$38:$D$51,MATCH(B175&amp;"|"&amp;D175&amp;"|All",Plan!$G$38:$G$51,0)))</f>
        <v>200</v>
      </c>
      <c r="I175" s="17" t="n">
        <f aca="false">IFERROR(INDEX(Plan!$E$38:$E$51,MATCH(B175&amp;"|"&amp;D175&amp;"|"&amp;E175,Plan!$G$38:$G$51,0)),INDEX(Plan!$E$38:$E$51,MATCH(B175&amp;"|"&amp;D175&amp;"|All",Plan!$G$38:$G$51,0)))</f>
        <v>203</v>
      </c>
      <c r="J175" s="8" t="str">
        <f aca="false">IF(F175="","MISSING",IF(AND(F175&gt;=H175,F175&lt;=I175),"OK","OUT"))</f>
        <v>OK</v>
      </c>
      <c r="K175" s="15" t="s">
        <v>108</v>
      </c>
    </row>
    <row r="176" customFormat="false" ht="15" hidden="false" customHeight="false" outlineLevel="0" collapsed="false">
      <c r="A176" s="14" t="n">
        <v>46297</v>
      </c>
      <c r="B176" s="15" t="s">
        <v>66</v>
      </c>
      <c r="C176" s="21" t="n">
        <v>0.583333333333333</v>
      </c>
      <c r="D176" s="22" t="s">
        <v>89</v>
      </c>
      <c r="E176" s="15" t="s">
        <v>62</v>
      </c>
      <c r="F176" s="16" t="n">
        <v>136</v>
      </c>
      <c r="G176" s="17" t="str">
        <f aca="false">IFERROR(INDEX(Plan!$F$38:$F$51,MATCH(B176&amp;"|"&amp;D176&amp;"|"&amp;E176,Plan!$G$38:$G$51,0)),INDEX(Plan!$F$38:$F$51,MATCH(B176&amp;"|"&amp;D176&amp;"|All",Plan!$G$38:$G$51,0)))</f>
        <v>Pa</v>
      </c>
      <c r="H176" s="17" t="n">
        <f aca="false">IFERROR(INDEX(Plan!$D$38:$D$51,MATCH(B176&amp;"|"&amp;D176&amp;"|"&amp;E176,Plan!$G$38:$G$51,0)),INDEX(Plan!$D$38:$D$51,MATCH(B176&amp;"|"&amp;D176&amp;"|All",Plan!$G$38:$G$51,0)))</f>
        <v>250</v>
      </c>
      <c r="I176" s="17" t="n">
        <f aca="false">IFERROR(INDEX(Plan!$E$38:$E$51,MATCH(B176&amp;"|"&amp;D176&amp;"|"&amp;E176,Plan!$G$38:$G$51,0)),INDEX(Plan!$E$38:$E$51,MATCH(B176&amp;"|"&amp;D176&amp;"|All",Plan!$G$38:$G$51,0)))</f>
        <v>400</v>
      </c>
      <c r="J176" s="8" t="str">
        <f aca="false">IF(F176="","MISSING",IF(AND(F176&gt;=H176,F176&lt;=I176),"OK","OUT"))</f>
        <v>OUT</v>
      </c>
      <c r="K176" s="15" t="s">
        <v>108</v>
      </c>
    </row>
    <row r="177" customFormat="false" ht="15" hidden="false" customHeight="false" outlineLevel="0" collapsed="false">
      <c r="A177" s="14" t="n">
        <v>46297</v>
      </c>
      <c r="B177" s="15" t="s">
        <v>66</v>
      </c>
      <c r="C177" s="21" t="n">
        <v>0.583333333333333</v>
      </c>
      <c r="D177" s="15" t="s">
        <v>91</v>
      </c>
      <c r="E177" s="15" t="s">
        <v>62</v>
      </c>
      <c r="F177" s="16" t="n">
        <v>175</v>
      </c>
      <c r="G177" s="17" t="str">
        <f aca="false">IFERROR(INDEX(Plan!$F$38:$F$51,MATCH(B177&amp;"|"&amp;D177&amp;"|"&amp;E177,Plan!$G$38:$G$51,0)),INDEX(Plan!$F$38:$F$51,MATCH(B177&amp;"|"&amp;D177&amp;"|All",Plan!$G$38:$G$51,0)))</f>
        <v>°C</v>
      </c>
      <c r="H177" s="17" t="n">
        <f aca="false">IFERROR(INDEX(Plan!$D$38:$D$51,MATCH(B177&amp;"|"&amp;D177&amp;"|"&amp;E177,Plan!$G$38:$G$51,0)),INDEX(Plan!$D$38:$D$51,MATCH(B177&amp;"|"&amp;D177&amp;"|All",Plan!$G$38:$G$51,0)))</f>
        <v>150</v>
      </c>
      <c r="I177" s="17" t="n">
        <f aca="false">IFERROR(INDEX(Plan!$E$38:$E$51,MATCH(B177&amp;"|"&amp;D177&amp;"|"&amp;E177,Plan!$G$38:$G$51,0)),INDEX(Plan!$E$38:$E$51,MATCH(B177&amp;"|"&amp;D177&amp;"|All",Plan!$G$38:$G$51,0)))</f>
        <v>165</v>
      </c>
      <c r="J177" s="8" t="str">
        <f aca="false">IF(F177="","MISSING",IF(AND(F177&gt;=H177,F177&lt;=I177),"OK","OUT"))</f>
        <v>OUT</v>
      </c>
      <c r="K177" s="15" t="s">
        <v>108</v>
      </c>
    </row>
    <row r="178" customFormat="false" ht="15" hidden="false" customHeight="false" outlineLevel="0" collapsed="false">
      <c r="A178" s="14" t="n">
        <v>46297</v>
      </c>
      <c r="B178" s="15" t="s">
        <v>66</v>
      </c>
      <c r="C178" s="21" t="n">
        <v>0.583333333333333</v>
      </c>
      <c r="D178" s="15" t="s">
        <v>92</v>
      </c>
      <c r="E178" s="15" t="s">
        <v>62</v>
      </c>
      <c r="F178" s="16" t="n">
        <v>34</v>
      </c>
      <c r="G178" s="17" t="str">
        <f aca="false">IFERROR(INDEX(Plan!$F$38:$F$51,MATCH(B178&amp;"|"&amp;D178&amp;"|"&amp;E178,Plan!$G$38:$G$51,0)),INDEX(Plan!$F$38:$F$51,MATCH(B178&amp;"|"&amp;D178&amp;"|All",Plan!$G$38:$G$51,0)))</f>
        <v>pouches/min</v>
      </c>
      <c r="H178" s="17" t="n">
        <f aca="false">IFERROR(INDEX(Plan!$D$38:$D$51,MATCH(B178&amp;"|"&amp;D178&amp;"|"&amp;E178,Plan!$G$38:$G$51,0)),INDEX(Plan!$D$38:$D$51,MATCH(B178&amp;"|"&amp;D178&amp;"|All",Plan!$G$38:$G$51,0)))</f>
        <v>38</v>
      </c>
      <c r="I178" s="17" t="n">
        <f aca="false">IFERROR(INDEX(Plan!$E$38:$E$51,MATCH(B178&amp;"|"&amp;D178&amp;"|"&amp;E178,Plan!$G$38:$G$51,0)),INDEX(Plan!$E$38:$E$51,MATCH(B178&amp;"|"&amp;D178&amp;"|All",Plan!$G$38:$G$51,0)))</f>
        <v>42</v>
      </c>
      <c r="J178" s="8" t="str">
        <f aca="false">IF(F178="","MISSING",IF(AND(F178&gt;=H178,F178&lt;=I178),"OK","OUT"))</f>
        <v>OUT</v>
      </c>
      <c r="K178" s="15" t="s">
        <v>108</v>
      </c>
    </row>
    <row r="179" customFormat="false" ht="15" hidden="false" customHeight="false" outlineLevel="0" collapsed="false">
      <c r="A179" s="14" t="n">
        <v>46297</v>
      </c>
      <c r="B179" s="15" t="s">
        <v>66</v>
      </c>
      <c r="C179" s="21" t="n">
        <v>0.583333333333333</v>
      </c>
      <c r="D179" s="22" t="s">
        <v>94</v>
      </c>
      <c r="E179" s="15" t="s">
        <v>62</v>
      </c>
      <c r="F179" s="23" t="n">
        <v>201.6</v>
      </c>
      <c r="G179" s="17" t="str">
        <f aca="false">IFERROR(INDEX(Plan!$F$38:$F$51,MATCH(B179&amp;"|"&amp;D179&amp;"|"&amp;E179,Plan!$G$38:$G$51,0)),INDEX(Plan!$F$38:$F$51,MATCH(B179&amp;"|"&amp;D179&amp;"|All",Plan!$G$38:$G$51,0)))</f>
        <v>g</v>
      </c>
      <c r="H179" s="17" t="n">
        <f aca="false">IFERROR(INDEX(Plan!$D$38:$D$51,MATCH(B179&amp;"|"&amp;D179&amp;"|"&amp;E179,Plan!$G$38:$G$51,0)),INDEX(Plan!$D$38:$D$51,MATCH(B179&amp;"|"&amp;D179&amp;"|All",Plan!$G$38:$G$51,0)))</f>
        <v>200</v>
      </c>
      <c r="I179" s="17" t="n">
        <f aca="false">IFERROR(INDEX(Plan!$E$38:$E$51,MATCH(B179&amp;"|"&amp;D179&amp;"|"&amp;E179,Plan!$G$38:$G$51,0)),INDEX(Plan!$E$38:$E$51,MATCH(B179&amp;"|"&amp;D179&amp;"|All",Plan!$G$38:$G$51,0)))</f>
        <v>203</v>
      </c>
      <c r="J179" s="8" t="str">
        <f aca="false">IF(F179="","MISSING",IF(AND(F179&gt;=H179,F179&lt;=I179),"OK","OUT"))</f>
        <v>OK</v>
      </c>
      <c r="K179" s="15" t="s">
        <v>108</v>
      </c>
    </row>
    <row r="180" customFormat="false" ht="15" hidden="false" customHeight="false" outlineLevel="0" collapsed="false">
      <c r="A180" s="14" t="n">
        <v>46297</v>
      </c>
      <c r="B180" s="15" t="s">
        <v>66</v>
      </c>
      <c r="C180" s="21" t="n">
        <v>0.604166666666667</v>
      </c>
      <c r="D180" s="22" t="s">
        <v>89</v>
      </c>
      <c r="E180" s="15" t="s">
        <v>62</v>
      </c>
      <c r="F180" s="16" t="n">
        <v>136</v>
      </c>
      <c r="G180" s="17" t="str">
        <f aca="false">IFERROR(INDEX(Plan!$F$38:$F$51,MATCH(B180&amp;"|"&amp;D180&amp;"|"&amp;E180,Plan!$G$38:$G$51,0)),INDEX(Plan!$F$38:$F$51,MATCH(B180&amp;"|"&amp;D180&amp;"|All",Plan!$G$38:$G$51,0)))</f>
        <v>Pa</v>
      </c>
      <c r="H180" s="17" t="n">
        <f aca="false">IFERROR(INDEX(Plan!$D$38:$D$51,MATCH(B180&amp;"|"&amp;D180&amp;"|"&amp;E180,Plan!$G$38:$G$51,0)),INDEX(Plan!$D$38:$D$51,MATCH(B180&amp;"|"&amp;D180&amp;"|All",Plan!$G$38:$G$51,0)))</f>
        <v>250</v>
      </c>
      <c r="I180" s="17" t="n">
        <f aca="false">IFERROR(INDEX(Plan!$E$38:$E$51,MATCH(B180&amp;"|"&amp;D180&amp;"|"&amp;E180,Plan!$G$38:$G$51,0)),INDEX(Plan!$E$38:$E$51,MATCH(B180&amp;"|"&amp;D180&amp;"|All",Plan!$G$38:$G$51,0)))</f>
        <v>400</v>
      </c>
      <c r="J180" s="8" t="str">
        <f aca="false">IF(F180="","MISSING",IF(AND(F180&gt;=H180,F180&lt;=I180),"OK","OUT"))</f>
        <v>OUT</v>
      </c>
      <c r="K180" s="15" t="s">
        <v>108</v>
      </c>
    </row>
    <row r="181" customFormat="false" ht="15" hidden="false" customHeight="false" outlineLevel="0" collapsed="false">
      <c r="A181" s="14" t="n">
        <v>46297</v>
      </c>
      <c r="B181" s="15" t="s">
        <v>66</v>
      </c>
      <c r="C181" s="21" t="n">
        <v>0.604166666666667</v>
      </c>
      <c r="D181" s="15" t="s">
        <v>91</v>
      </c>
      <c r="E181" s="15" t="s">
        <v>62</v>
      </c>
      <c r="F181" s="16" t="n">
        <v>175</v>
      </c>
      <c r="G181" s="17" t="str">
        <f aca="false">IFERROR(INDEX(Plan!$F$38:$F$51,MATCH(B181&amp;"|"&amp;D181&amp;"|"&amp;E181,Plan!$G$38:$G$51,0)),INDEX(Plan!$F$38:$F$51,MATCH(B181&amp;"|"&amp;D181&amp;"|All",Plan!$G$38:$G$51,0)))</f>
        <v>°C</v>
      </c>
      <c r="H181" s="17" t="n">
        <f aca="false">IFERROR(INDEX(Plan!$D$38:$D$51,MATCH(B181&amp;"|"&amp;D181&amp;"|"&amp;E181,Plan!$G$38:$G$51,0)),INDEX(Plan!$D$38:$D$51,MATCH(B181&amp;"|"&amp;D181&amp;"|All",Plan!$G$38:$G$51,0)))</f>
        <v>150</v>
      </c>
      <c r="I181" s="17" t="n">
        <f aca="false">IFERROR(INDEX(Plan!$E$38:$E$51,MATCH(B181&amp;"|"&amp;D181&amp;"|"&amp;E181,Plan!$G$38:$G$51,0)),INDEX(Plan!$E$38:$E$51,MATCH(B181&amp;"|"&amp;D181&amp;"|All",Plan!$G$38:$G$51,0)))</f>
        <v>165</v>
      </c>
      <c r="J181" s="8" t="str">
        <f aca="false">IF(F181="","MISSING",IF(AND(F181&gt;=H181,F181&lt;=I181),"OK","OUT"))</f>
        <v>OUT</v>
      </c>
      <c r="K181" s="15" t="s">
        <v>108</v>
      </c>
    </row>
    <row r="182" customFormat="false" ht="15" hidden="false" customHeight="false" outlineLevel="0" collapsed="false">
      <c r="A182" s="14" t="n">
        <v>46297</v>
      </c>
      <c r="B182" s="15" t="s">
        <v>66</v>
      </c>
      <c r="C182" s="21" t="n">
        <v>0.604166666666667</v>
      </c>
      <c r="D182" s="15" t="s">
        <v>92</v>
      </c>
      <c r="E182" s="15" t="s">
        <v>62</v>
      </c>
      <c r="F182" s="16" t="n">
        <v>34</v>
      </c>
      <c r="G182" s="17" t="str">
        <f aca="false">IFERROR(INDEX(Plan!$F$38:$F$51,MATCH(B182&amp;"|"&amp;D182&amp;"|"&amp;E182,Plan!$G$38:$G$51,0)),INDEX(Plan!$F$38:$F$51,MATCH(B182&amp;"|"&amp;D182&amp;"|All",Plan!$G$38:$G$51,0)))</f>
        <v>pouches/min</v>
      </c>
      <c r="H182" s="17" t="n">
        <f aca="false">IFERROR(INDEX(Plan!$D$38:$D$51,MATCH(B182&amp;"|"&amp;D182&amp;"|"&amp;E182,Plan!$G$38:$G$51,0)),INDEX(Plan!$D$38:$D$51,MATCH(B182&amp;"|"&amp;D182&amp;"|All",Plan!$G$38:$G$51,0)))</f>
        <v>38</v>
      </c>
      <c r="I182" s="17" t="n">
        <f aca="false">IFERROR(INDEX(Plan!$E$38:$E$51,MATCH(B182&amp;"|"&amp;D182&amp;"|"&amp;E182,Plan!$G$38:$G$51,0)),INDEX(Plan!$E$38:$E$51,MATCH(B182&amp;"|"&amp;D182&amp;"|All",Plan!$G$38:$G$51,0)))</f>
        <v>42</v>
      </c>
      <c r="J182" s="8" t="str">
        <f aca="false">IF(F182="","MISSING",IF(AND(F182&gt;=H182,F182&lt;=I182),"OK","OUT"))</f>
        <v>OUT</v>
      </c>
      <c r="K182" s="15" t="s">
        <v>108</v>
      </c>
    </row>
    <row r="183" customFormat="false" ht="15" hidden="false" customHeight="false" outlineLevel="0" collapsed="false">
      <c r="A183" s="14" t="n">
        <v>46297</v>
      </c>
      <c r="B183" s="15" t="s">
        <v>66</v>
      </c>
      <c r="C183" s="21" t="n">
        <v>0.604166666666667</v>
      </c>
      <c r="D183" s="22" t="s">
        <v>94</v>
      </c>
      <c r="E183" s="15" t="s">
        <v>62</v>
      </c>
      <c r="F183" s="23" t="n">
        <v>202.3</v>
      </c>
      <c r="G183" s="17" t="str">
        <f aca="false">IFERROR(INDEX(Plan!$F$38:$F$51,MATCH(B183&amp;"|"&amp;D183&amp;"|"&amp;E183,Plan!$G$38:$G$51,0)),INDEX(Plan!$F$38:$F$51,MATCH(B183&amp;"|"&amp;D183&amp;"|All",Plan!$G$38:$G$51,0)))</f>
        <v>g</v>
      </c>
      <c r="H183" s="17" t="n">
        <f aca="false">IFERROR(INDEX(Plan!$D$38:$D$51,MATCH(B183&amp;"|"&amp;D183&amp;"|"&amp;E183,Plan!$G$38:$G$51,0)),INDEX(Plan!$D$38:$D$51,MATCH(B183&amp;"|"&amp;D183&amp;"|All",Plan!$G$38:$G$51,0)))</f>
        <v>200</v>
      </c>
      <c r="I183" s="17" t="n">
        <f aca="false">IFERROR(INDEX(Plan!$E$38:$E$51,MATCH(B183&amp;"|"&amp;D183&amp;"|"&amp;E183,Plan!$G$38:$G$51,0)),INDEX(Plan!$E$38:$E$51,MATCH(B183&amp;"|"&amp;D183&amp;"|All",Plan!$G$38:$G$51,0)))</f>
        <v>203</v>
      </c>
      <c r="J183" s="8" t="str">
        <f aca="false">IF(F183="","MISSING",IF(AND(F183&gt;=H183,F183&lt;=I183),"OK","OUT"))</f>
        <v>OK</v>
      </c>
      <c r="K183" s="15" t="s">
        <v>108</v>
      </c>
    </row>
    <row r="184" customFormat="false" ht="15" hidden="false" customHeight="false" outlineLevel="0" collapsed="false">
      <c r="A184" s="14" t="n">
        <v>46297</v>
      </c>
      <c r="B184" s="15" t="s">
        <v>66</v>
      </c>
      <c r="C184" s="21" t="n">
        <v>0.625</v>
      </c>
      <c r="D184" s="22" t="s">
        <v>89</v>
      </c>
      <c r="E184" s="15" t="s">
        <v>62</v>
      </c>
      <c r="F184" s="16" t="n">
        <v>291</v>
      </c>
      <c r="G184" s="17" t="str">
        <f aca="false">IFERROR(INDEX(Plan!$F$38:$F$51,MATCH(B184&amp;"|"&amp;D184&amp;"|"&amp;E184,Plan!$G$38:$G$51,0)),INDEX(Plan!$F$38:$F$51,MATCH(B184&amp;"|"&amp;D184&amp;"|All",Plan!$G$38:$G$51,0)))</f>
        <v>Pa</v>
      </c>
      <c r="H184" s="17" t="n">
        <f aca="false">IFERROR(INDEX(Plan!$D$38:$D$51,MATCH(B184&amp;"|"&amp;D184&amp;"|"&amp;E184,Plan!$G$38:$G$51,0)),INDEX(Plan!$D$38:$D$51,MATCH(B184&amp;"|"&amp;D184&amp;"|All",Plan!$G$38:$G$51,0)))</f>
        <v>250</v>
      </c>
      <c r="I184" s="17" t="n">
        <f aca="false">IFERROR(INDEX(Plan!$E$38:$E$51,MATCH(B184&amp;"|"&amp;D184&amp;"|"&amp;E184,Plan!$G$38:$G$51,0)),INDEX(Plan!$E$38:$E$51,MATCH(B184&amp;"|"&amp;D184&amp;"|All",Plan!$G$38:$G$51,0)))</f>
        <v>400</v>
      </c>
      <c r="J184" s="8" t="str">
        <f aca="false">IF(F184="","MISSING",IF(AND(F184&gt;=H184,F184&lt;=I184),"OK","OUT"))</f>
        <v>OK</v>
      </c>
      <c r="K184" s="15" t="s">
        <v>108</v>
      </c>
    </row>
    <row r="185" customFormat="false" ht="15" hidden="false" customHeight="false" outlineLevel="0" collapsed="false">
      <c r="A185" s="14" t="n">
        <v>46297</v>
      </c>
      <c r="B185" s="15" t="s">
        <v>66</v>
      </c>
      <c r="C185" s="21" t="n">
        <v>0.625</v>
      </c>
      <c r="D185" s="15" t="s">
        <v>91</v>
      </c>
      <c r="E185" s="15" t="s">
        <v>62</v>
      </c>
      <c r="F185" s="16" t="n">
        <v>175</v>
      </c>
      <c r="G185" s="17" t="str">
        <f aca="false">IFERROR(INDEX(Plan!$F$38:$F$51,MATCH(B185&amp;"|"&amp;D185&amp;"|"&amp;E185,Plan!$G$38:$G$51,0)),INDEX(Plan!$F$38:$F$51,MATCH(B185&amp;"|"&amp;D185&amp;"|All",Plan!$G$38:$G$51,0)))</f>
        <v>°C</v>
      </c>
      <c r="H185" s="17" t="n">
        <f aca="false">IFERROR(INDEX(Plan!$D$38:$D$51,MATCH(B185&amp;"|"&amp;D185&amp;"|"&amp;E185,Plan!$G$38:$G$51,0)),INDEX(Plan!$D$38:$D$51,MATCH(B185&amp;"|"&amp;D185&amp;"|All",Plan!$G$38:$G$51,0)))</f>
        <v>150</v>
      </c>
      <c r="I185" s="17" t="n">
        <f aca="false">IFERROR(INDEX(Plan!$E$38:$E$51,MATCH(B185&amp;"|"&amp;D185&amp;"|"&amp;E185,Plan!$G$38:$G$51,0)),INDEX(Plan!$E$38:$E$51,MATCH(B185&amp;"|"&amp;D185&amp;"|All",Plan!$G$38:$G$51,0)))</f>
        <v>165</v>
      </c>
      <c r="J185" s="8" t="str">
        <f aca="false">IF(F185="","MISSING",IF(AND(F185&gt;=H185,F185&lt;=I185),"OK","OUT"))</f>
        <v>OUT</v>
      </c>
      <c r="K185" s="15" t="s">
        <v>108</v>
      </c>
    </row>
    <row r="186" customFormat="false" ht="15" hidden="false" customHeight="false" outlineLevel="0" collapsed="false">
      <c r="A186" s="14" t="n">
        <v>46297</v>
      </c>
      <c r="B186" s="15" t="s">
        <v>66</v>
      </c>
      <c r="C186" s="21" t="n">
        <v>0.625</v>
      </c>
      <c r="D186" s="15" t="s">
        <v>92</v>
      </c>
      <c r="E186" s="15" t="s">
        <v>62</v>
      </c>
      <c r="F186" s="16" t="n">
        <v>34</v>
      </c>
      <c r="G186" s="17" t="str">
        <f aca="false">IFERROR(INDEX(Plan!$F$38:$F$51,MATCH(B186&amp;"|"&amp;D186&amp;"|"&amp;E186,Plan!$G$38:$G$51,0)),INDEX(Plan!$F$38:$F$51,MATCH(B186&amp;"|"&amp;D186&amp;"|All",Plan!$G$38:$G$51,0)))</f>
        <v>pouches/min</v>
      </c>
      <c r="H186" s="17" t="n">
        <f aca="false">IFERROR(INDEX(Plan!$D$38:$D$51,MATCH(B186&amp;"|"&amp;D186&amp;"|"&amp;E186,Plan!$G$38:$G$51,0)),INDEX(Plan!$D$38:$D$51,MATCH(B186&amp;"|"&amp;D186&amp;"|All",Plan!$G$38:$G$51,0)))</f>
        <v>38</v>
      </c>
      <c r="I186" s="17" t="n">
        <f aca="false">IFERROR(INDEX(Plan!$E$38:$E$51,MATCH(B186&amp;"|"&amp;D186&amp;"|"&amp;E186,Plan!$G$38:$G$51,0)),INDEX(Plan!$E$38:$E$51,MATCH(B186&amp;"|"&amp;D186&amp;"|All",Plan!$G$38:$G$51,0)))</f>
        <v>42</v>
      </c>
      <c r="J186" s="8" t="str">
        <f aca="false">IF(F186="","MISSING",IF(AND(F186&gt;=H186,F186&lt;=I186),"OK","OUT"))</f>
        <v>OUT</v>
      </c>
      <c r="K186" s="15" t="s">
        <v>108</v>
      </c>
    </row>
    <row r="187" customFormat="false" ht="15" hidden="false" customHeight="false" outlineLevel="0" collapsed="false">
      <c r="A187" s="14" t="n">
        <v>46297</v>
      </c>
      <c r="B187" s="15" t="s">
        <v>66</v>
      </c>
      <c r="C187" s="21" t="n">
        <v>0.625</v>
      </c>
      <c r="D187" s="22" t="s">
        <v>94</v>
      </c>
      <c r="E187" s="15" t="s">
        <v>62</v>
      </c>
      <c r="F187" s="23" t="n">
        <v>201.1</v>
      </c>
      <c r="G187" s="17" t="str">
        <f aca="false">IFERROR(INDEX(Plan!$F$38:$F$51,MATCH(B187&amp;"|"&amp;D187&amp;"|"&amp;E187,Plan!$G$38:$G$51,0)),INDEX(Plan!$F$38:$F$51,MATCH(B187&amp;"|"&amp;D187&amp;"|All",Plan!$G$38:$G$51,0)))</f>
        <v>g</v>
      </c>
      <c r="H187" s="17" t="n">
        <f aca="false">IFERROR(INDEX(Plan!$D$38:$D$51,MATCH(B187&amp;"|"&amp;D187&amp;"|"&amp;E187,Plan!$G$38:$G$51,0)),INDEX(Plan!$D$38:$D$51,MATCH(B187&amp;"|"&amp;D187&amp;"|All",Plan!$G$38:$G$51,0)))</f>
        <v>200</v>
      </c>
      <c r="I187" s="17" t="n">
        <f aca="false">IFERROR(INDEX(Plan!$E$38:$E$51,MATCH(B187&amp;"|"&amp;D187&amp;"|"&amp;E187,Plan!$G$38:$G$51,0)),INDEX(Plan!$E$38:$E$51,MATCH(B187&amp;"|"&amp;D187&amp;"|All",Plan!$G$38:$G$51,0)))</f>
        <v>203</v>
      </c>
      <c r="J187" s="8" t="str">
        <f aca="false">IF(F187="","MISSING",IF(AND(F187&gt;=H187,F187&lt;=I187),"OK","OUT"))</f>
        <v>OK</v>
      </c>
      <c r="K187" s="15" t="s">
        <v>108</v>
      </c>
    </row>
    <row r="188" customFormat="false" ht="15" hidden="false" customHeight="false" outlineLevel="0" collapsed="false">
      <c r="A188" s="14" t="n">
        <v>46297</v>
      </c>
      <c r="B188" s="15" t="s">
        <v>66</v>
      </c>
      <c r="C188" s="21" t="n">
        <v>0.645833333333333</v>
      </c>
      <c r="D188" s="22" t="s">
        <v>89</v>
      </c>
      <c r="E188" s="15" t="s">
        <v>62</v>
      </c>
      <c r="F188" s="16" t="n">
        <v>315</v>
      </c>
      <c r="G188" s="17" t="str">
        <f aca="false">IFERROR(INDEX(Plan!$F$38:$F$51,MATCH(B188&amp;"|"&amp;D188&amp;"|"&amp;E188,Plan!$G$38:$G$51,0)),INDEX(Plan!$F$38:$F$51,MATCH(B188&amp;"|"&amp;D188&amp;"|All",Plan!$G$38:$G$51,0)))</f>
        <v>Pa</v>
      </c>
      <c r="H188" s="17" t="n">
        <f aca="false">IFERROR(INDEX(Plan!$D$38:$D$51,MATCH(B188&amp;"|"&amp;D188&amp;"|"&amp;E188,Plan!$G$38:$G$51,0)),INDEX(Plan!$D$38:$D$51,MATCH(B188&amp;"|"&amp;D188&amp;"|All",Plan!$G$38:$G$51,0)))</f>
        <v>250</v>
      </c>
      <c r="I188" s="17" t="n">
        <f aca="false">IFERROR(INDEX(Plan!$E$38:$E$51,MATCH(B188&amp;"|"&amp;D188&amp;"|"&amp;E188,Plan!$G$38:$G$51,0)),INDEX(Plan!$E$38:$E$51,MATCH(B188&amp;"|"&amp;D188&amp;"|All",Plan!$G$38:$G$51,0)))</f>
        <v>400</v>
      </c>
      <c r="J188" s="8" t="str">
        <f aca="false">IF(F188="","MISSING",IF(AND(F188&gt;=H188,F188&lt;=I188),"OK","OUT"))</f>
        <v>OK</v>
      </c>
      <c r="K188" s="15" t="s">
        <v>108</v>
      </c>
    </row>
    <row r="189" customFormat="false" ht="15" hidden="false" customHeight="false" outlineLevel="0" collapsed="false">
      <c r="A189" s="14" t="n">
        <v>46297</v>
      </c>
      <c r="B189" s="15" t="s">
        <v>66</v>
      </c>
      <c r="C189" s="21" t="n">
        <v>0.645833333333333</v>
      </c>
      <c r="D189" s="15" t="s">
        <v>91</v>
      </c>
      <c r="E189" s="15" t="s">
        <v>62</v>
      </c>
      <c r="F189" s="16" t="n">
        <v>158</v>
      </c>
      <c r="G189" s="17" t="str">
        <f aca="false">IFERROR(INDEX(Plan!$F$38:$F$51,MATCH(B189&amp;"|"&amp;D189&amp;"|"&amp;E189,Plan!$G$38:$G$51,0)),INDEX(Plan!$F$38:$F$51,MATCH(B189&amp;"|"&amp;D189&amp;"|All",Plan!$G$38:$G$51,0)))</f>
        <v>°C</v>
      </c>
      <c r="H189" s="17" t="n">
        <f aca="false">IFERROR(INDEX(Plan!$D$38:$D$51,MATCH(B189&amp;"|"&amp;D189&amp;"|"&amp;E189,Plan!$G$38:$G$51,0)),INDEX(Plan!$D$38:$D$51,MATCH(B189&amp;"|"&amp;D189&amp;"|All",Plan!$G$38:$G$51,0)))</f>
        <v>150</v>
      </c>
      <c r="I189" s="17" t="n">
        <f aca="false">IFERROR(INDEX(Plan!$E$38:$E$51,MATCH(B189&amp;"|"&amp;D189&amp;"|"&amp;E189,Plan!$G$38:$G$51,0)),INDEX(Plan!$E$38:$E$51,MATCH(B189&amp;"|"&amp;D189&amp;"|All",Plan!$G$38:$G$51,0)))</f>
        <v>165</v>
      </c>
      <c r="J189" s="8" t="str">
        <f aca="false">IF(F189="","MISSING",IF(AND(F189&gt;=H189,F189&lt;=I189),"OK","OUT"))</f>
        <v>OK</v>
      </c>
      <c r="K189" s="15" t="s">
        <v>108</v>
      </c>
    </row>
    <row r="190" customFormat="false" ht="15" hidden="false" customHeight="false" outlineLevel="0" collapsed="false">
      <c r="A190" s="14" t="n">
        <v>46297</v>
      </c>
      <c r="B190" s="15" t="s">
        <v>66</v>
      </c>
      <c r="C190" s="21" t="n">
        <v>0.645833333333333</v>
      </c>
      <c r="D190" s="15" t="s">
        <v>92</v>
      </c>
      <c r="E190" s="15" t="s">
        <v>62</v>
      </c>
      <c r="F190" s="16" t="n">
        <v>40</v>
      </c>
      <c r="G190" s="17" t="str">
        <f aca="false">IFERROR(INDEX(Plan!$F$38:$F$51,MATCH(B190&amp;"|"&amp;D190&amp;"|"&amp;E190,Plan!$G$38:$G$51,0)),INDEX(Plan!$F$38:$F$51,MATCH(B190&amp;"|"&amp;D190&amp;"|All",Plan!$G$38:$G$51,0)))</f>
        <v>pouches/min</v>
      </c>
      <c r="H190" s="17" t="n">
        <f aca="false">IFERROR(INDEX(Plan!$D$38:$D$51,MATCH(B190&amp;"|"&amp;D190&amp;"|"&amp;E190,Plan!$G$38:$G$51,0)),INDEX(Plan!$D$38:$D$51,MATCH(B190&amp;"|"&amp;D190&amp;"|All",Plan!$G$38:$G$51,0)))</f>
        <v>38</v>
      </c>
      <c r="I190" s="17" t="n">
        <f aca="false">IFERROR(INDEX(Plan!$E$38:$E$51,MATCH(B190&amp;"|"&amp;D190&amp;"|"&amp;E190,Plan!$G$38:$G$51,0)),INDEX(Plan!$E$38:$E$51,MATCH(B190&amp;"|"&amp;D190&amp;"|All",Plan!$G$38:$G$51,0)))</f>
        <v>42</v>
      </c>
      <c r="J190" s="8" t="str">
        <f aca="false">IF(F190="","MISSING",IF(AND(F190&gt;=H190,F190&lt;=I190),"OK","OUT"))</f>
        <v>OK</v>
      </c>
      <c r="K190" s="15" t="s">
        <v>108</v>
      </c>
    </row>
    <row r="191" customFormat="false" ht="15" hidden="false" customHeight="false" outlineLevel="0" collapsed="false">
      <c r="A191" s="14" t="n">
        <v>46297</v>
      </c>
      <c r="B191" s="15" t="s">
        <v>66</v>
      </c>
      <c r="C191" s="21" t="n">
        <v>0.645833333333333</v>
      </c>
      <c r="D191" s="22" t="s">
        <v>94</v>
      </c>
      <c r="E191" s="15" t="s">
        <v>62</v>
      </c>
      <c r="F191" s="23" t="n">
        <v>202</v>
      </c>
      <c r="G191" s="17" t="str">
        <f aca="false">IFERROR(INDEX(Plan!$F$38:$F$51,MATCH(B191&amp;"|"&amp;D191&amp;"|"&amp;E191,Plan!$G$38:$G$51,0)),INDEX(Plan!$F$38:$F$51,MATCH(B191&amp;"|"&amp;D191&amp;"|All",Plan!$G$38:$G$51,0)))</f>
        <v>g</v>
      </c>
      <c r="H191" s="17" t="n">
        <f aca="false">IFERROR(INDEX(Plan!$D$38:$D$51,MATCH(B191&amp;"|"&amp;D191&amp;"|"&amp;E191,Plan!$G$38:$G$51,0)),INDEX(Plan!$D$38:$D$51,MATCH(B191&amp;"|"&amp;D191&amp;"|All",Plan!$G$38:$G$51,0)))</f>
        <v>200</v>
      </c>
      <c r="I191" s="17" t="n">
        <f aca="false">IFERROR(INDEX(Plan!$E$38:$E$51,MATCH(B191&amp;"|"&amp;D191&amp;"|"&amp;E191,Plan!$G$38:$G$51,0)),INDEX(Plan!$E$38:$E$51,MATCH(B191&amp;"|"&amp;D191&amp;"|All",Plan!$G$38:$G$51,0)))</f>
        <v>203</v>
      </c>
      <c r="J191" s="8" t="str">
        <f aca="false">IF(F191="","MISSING",IF(AND(F191&gt;=H191,F191&lt;=I191),"OK","OUT"))</f>
        <v>OK</v>
      </c>
      <c r="K191" s="15" t="s">
        <v>108</v>
      </c>
    </row>
    <row r="192" customFormat="false" ht="15" hidden="false" customHeight="false" outlineLevel="0" collapsed="false">
      <c r="A192" s="14" t="n">
        <v>46297</v>
      </c>
      <c r="B192" s="15" t="s">
        <v>66</v>
      </c>
      <c r="C192" s="21" t="n">
        <v>0.666666666666667</v>
      </c>
      <c r="D192" s="22" t="s">
        <v>89</v>
      </c>
      <c r="E192" s="15" t="s">
        <v>62</v>
      </c>
      <c r="F192" s="16" t="n">
        <v>319</v>
      </c>
      <c r="G192" s="17" t="str">
        <f aca="false">IFERROR(INDEX(Plan!$F$38:$F$51,MATCH(B192&amp;"|"&amp;D192&amp;"|"&amp;E192,Plan!$G$38:$G$51,0)),INDEX(Plan!$F$38:$F$51,MATCH(B192&amp;"|"&amp;D192&amp;"|All",Plan!$G$38:$G$51,0)))</f>
        <v>Pa</v>
      </c>
      <c r="H192" s="17" t="n">
        <f aca="false">IFERROR(INDEX(Plan!$D$38:$D$51,MATCH(B192&amp;"|"&amp;D192&amp;"|"&amp;E192,Plan!$G$38:$G$51,0)),INDEX(Plan!$D$38:$D$51,MATCH(B192&amp;"|"&amp;D192&amp;"|All",Plan!$G$38:$G$51,0)))</f>
        <v>250</v>
      </c>
      <c r="I192" s="17" t="n">
        <f aca="false">IFERROR(INDEX(Plan!$E$38:$E$51,MATCH(B192&amp;"|"&amp;D192&amp;"|"&amp;E192,Plan!$G$38:$G$51,0)),INDEX(Plan!$E$38:$E$51,MATCH(B192&amp;"|"&amp;D192&amp;"|All",Plan!$G$38:$G$51,0)))</f>
        <v>400</v>
      </c>
      <c r="J192" s="8" t="str">
        <f aca="false">IF(F192="","MISSING",IF(AND(F192&gt;=H192,F192&lt;=I192),"OK","OUT"))</f>
        <v>OK</v>
      </c>
      <c r="K192" s="15" t="s">
        <v>108</v>
      </c>
    </row>
    <row r="193" customFormat="false" ht="15" hidden="false" customHeight="false" outlineLevel="0" collapsed="false">
      <c r="A193" s="14" t="n">
        <v>46297</v>
      </c>
      <c r="B193" s="15" t="s">
        <v>66</v>
      </c>
      <c r="C193" s="21" t="n">
        <v>0.666666666666667</v>
      </c>
      <c r="D193" s="15" t="s">
        <v>91</v>
      </c>
      <c r="E193" s="15" t="s">
        <v>62</v>
      </c>
      <c r="F193" s="16" t="n">
        <v>158</v>
      </c>
      <c r="G193" s="17" t="str">
        <f aca="false">IFERROR(INDEX(Plan!$F$38:$F$51,MATCH(B193&amp;"|"&amp;D193&amp;"|"&amp;E193,Plan!$G$38:$G$51,0)),INDEX(Plan!$F$38:$F$51,MATCH(B193&amp;"|"&amp;D193&amp;"|All",Plan!$G$38:$G$51,0)))</f>
        <v>°C</v>
      </c>
      <c r="H193" s="17" t="n">
        <f aca="false">IFERROR(INDEX(Plan!$D$38:$D$51,MATCH(B193&amp;"|"&amp;D193&amp;"|"&amp;E193,Plan!$G$38:$G$51,0)),INDEX(Plan!$D$38:$D$51,MATCH(B193&amp;"|"&amp;D193&amp;"|All",Plan!$G$38:$G$51,0)))</f>
        <v>150</v>
      </c>
      <c r="I193" s="17" t="n">
        <f aca="false">IFERROR(INDEX(Plan!$E$38:$E$51,MATCH(B193&amp;"|"&amp;D193&amp;"|"&amp;E193,Plan!$G$38:$G$51,0)),INDEX(Plan!$E$38:$E$51,MATCH(B193&amp;"|"&amp;D193&amp;"|All",Plan!$G$38:$G$51,0)))</f>
        <v>165</v>
      </c>
      <c r="J193" s="8" t="str">
        <f aca="false">IF(F193="","MISSING",IF(AND(F193&gt;=H193,F193&lt;=I193),"OK","OUT"))</f>
        <v>OK</v>
      </c>
      <c r="K193" s="15" t="s">
        <v>108</v>
      </c>
    </row>
    <row r="194" customFormat="false" ht="15" hidden="false" customHeight="false" outlineLevel="0" collapsed="false">
      <c r="A194" s="14" t="n">
        <v>46297</v>
      </c>
      <c r="B194" s="15" t="s">
        <v>66</v>
      </c>
      <c r="C194" s="21" t="n">
        <v>0.666666666666667</v>
      </c>
      <c r="D194" s="15" t="s">
        <v>92</v>
      </c>
      <c r="E194" s="15" t="s">
        <v>62</v>
      </c>
      <c r="F194" s="16" t="n">
        <v>40</v>
      </c>
      <c r="G194" s="17" t="str">
        <f aca="false">IFERROR(INDEX(Plan!$F$38:$F$51,MATCH(B194&amp;"|"&amp;D194&amp;"|"&amp;E194,Plan!$G$38:$G$51,0)),INDEX(Plan!$F$38:$F$51,MATCH(B194&amp;"|"&amp;D194&amp;"|All",Plan!$G$38:$G$51,0)))</f>
        <v>pouches/min</v>
      </c>
      <c r="H194" s="17" t="n">
        <f aca="false">IFERROR(INDEX(Plan!$D$38:$D$51,MATCH(B194&amp;"|"&amp;D194&amp;"|"&amp;E194,Plan!$G$38:$G$51,0)),INDEX(Plan!$D$38:$D$51,MATCH(B194&amp;"|"&amp;D194&amp;"|All",Plan!$G$38:$G$51,0)))</f>
        <v>38</v>
      </c>
      <c r="I194" s="17" t="n">
        <f aca="false">IFERROR(INDEX(Plan!$E$38:$E$51,MATCH(B194&amp;"|"&amp;D194&amp;"|"&amp;E194,Plan!$G$38:$G$51,0)),INDEX(Plan!$E$38:$E$51,MATCH(B194&amp;"|"&amp;D194&amp;"|All",Plan!$G$38:$G$51,0)))</f>
        <v>42</v>
      </c>
      <c r="J194" s="8" t="str">
        <f aca="false">IF(F194="","MISSING",IF(AND(F194&gt;=H194,F194&lt;=I194),"OK","OUT"))</f>
        <v>OK</v>
      </c>
      <c r="K194" s="15" t="s">
        <v>108</v>
      </c>
    </row>
    <row r="195" customFormat="false" ht="15" hidden="false" customHeight="false" outlineLevel="0" collapsed="false">
      <c r="A195" s="14" t="n">
        <v>46297</v>
      </c>
      <c r="B195" s="15" t="s">
        <v>66</v>
      </c>
      <c r="C195" s="21" t="n">
        <v>0.666666666666667</v>
      </c>
      <c r="D195" s="22" t="s">
        <v>94</v>
      </c>
      <c r="E195" s="15" t="s">
        <v>62</v>
      </c>
      <c r="F195" s="23" t="n">
        <v>201.6</v>
      </c>
      <c r="G195" s="17" t="str">
        <f aca="false">IFERROR(INDEX(Plan!$F$38:$F$51,MATCH(B195&amp;"|"&amp;D195&amp;"|"&amp;E195,Plan!$G$38:$G$51,0)),INDEX(Plan!$F$38:$F$51,MATCH(B195&amp;"|"&amp;D195&amp;"|All",Plan!$G$38:$G$51,0)))</f>
        <v>g</v>
      </c>
      <c r="H195" s="17" t="n">
        <f aca="false">IFERROR(INDEX(Plan!$D$38:$D$51,MATCH(B195&amp;"|"&amp;D195&amp;"|"&amp;E195,Plan!$G$38:$G$51,0)),INDEX(Plan!$D$38:$D$51,MATCH(B195&amp;"|"&amp;D195&amp;"|All",Plan!$G$38:$G$51,0)))</f>
        <v>200</v>
      </c>
      <c r="I195" s="17" t="n">
        <f aca="false">IFERROR(INDEX(Plan!$E$38:$E$51,MATCH(B195&amp;"|"&amp;D195&amp;"|"&amp;E195,Plan!$G$38:$G$51,0)),INDEX(Plan!$E$38:$E$51,MATCH(B195&amp;"|"&amp;D195&amp;"|All",Plan!$G$38:$G$51,0)))</f>
        <v>203</v>
      </c>
      <c r="J195" s="8" t="str">
        <f aca="false">IF(F195="","MISSING",IF(AND(F195&gt;=H195,F195&lt;=I195),"OK","OUT"))</f>
        <v>OK</v>
      </c>
      <c r="K195" s="15" t="s">
        <v>108</v>
      </c>
    </row>
    <row r="196" customFormat="false" ht="15" hidden="false" customHeight="false" outlineLevel="0" collapsed="false">
      <c r="A196" s="14" t="n">
        <v>46297</v>
      </c>
      <c r="B196" s="15" t="s">
        <v>66</v>
      </c>
      <c r="C196" s="21" t="n">
        <v>0.6875</v>
      </c>
      <c r="D196" s="22" t="s">
        <v>89</v>
      </c>
      <c r="E196" s="15" t="s">
        <v>62</v>
      </c>
      <c r="F196" s="16" t="n">
        <v>312</v>
      </c>
      <c r="G196" s="17" t="str">
        <f aca="false">IFERROR(INDEX(Plan!$F$38:$F$51,MATCH(B196&amp;"|"&amp;D196&amp;"|"&amp;E196,Plan!$G$38:$G$51,0)),INDEX(Plan!$F$38:$F$51,MATCH(B196&amp;"|"&amp;D196&amp;"|All",Plan!$G$38:$G$51,0)))</f>
        <v>Pa</v>
      </c>
      <c r="H196" s="17" t="n">
        <f aca="false">IFERROR(INDEX(Plan!$D$38:$D$51,MATCH(B196&amp;"|"&amp;D196&amp;"|"&amp;E196,Plan!$G$38:$G$51,0)),INDEX(Plan!$D$38:$D$51,MATCH(B196&amp;"|"&amp;D196&amp;"|All",Plan!$G$38:$G$51,0)))</f>
        <v>250</v>
      </c>
      <c r="I196" s="17" t="n">
        <f aca="false">IFERROR(INDEX(Plan!$E$38:$E$51,MATCH(B196&amp;"|"&amp;D196&amp;"|"&amp;E196,Plan!$G$38:$G$51,0)),INDEX(Plan!$E$38:$E$51,MATCH(B196&amp;"|"&amp;D196&amp;"|All",Plan!$G$38:$G$51,0)))</f>
        <v>400</v>
      </c>
      <c r="J196" s="8" t="str">
        <f aca="false">IF(F196="","MISSING",IF(AND(F196&gt;=H196,F196&lt;=I196),"OK","OUT"))</f>
        <v>OK</v>
      </c>
      <c r="K196" s="15" t="s">
        <v>108</v>
      </c>
    </row>
    <row r="197" customFormat="false" ht="15" hidden="false" customHeight="false" outlineLevel="0" collapsed="false">
      <c r="A197" s="14" t="n">
        <v>46297</v>
      </c>
      <c r="B197" s="15" t="s">
        <v>66</v>
      </c>
      <c r="C197" s="21" t="n">
        <v>0.6875</v>
      </c>
      <c r="D197" s="15" t="s">
        <v>91</v>
      </c>
      <c r="E197" s="15" t="s">
        <v>62</v>
      </c>
      <c r="F197" s="16" t="n">
        <v>158</v>
      </c>
      <c r="G197" s="17" t="str">
        <f aca="false">IFERROR(INDEX(Plan!$F$38:$F$51,MATCH(B197&amp;"|"&amp;D197&amp;"|"&amp;E197,Plan!$G$38:$G$51,0)),INDEX(Plan!$F$38:$F$51,MATCH(B197&amp;"|"&amp;D197&amp;"|All",Plan!$G$38:$G$51,0)))</f>
        <v>°C</v>
      </c>
      <c r="H197" s="17" t="n">
        <f aca="false">IFERROR(INDEX(Plan!$D$38:$D$51,MATCH(B197&amp;"|"&amp;D197&amp;"|"&amp;E197,Plan!$G$38:$G$51,0)),INDEX(Plan!$D$38:$D$51,MATCH(B197&amp;"|"&amp;D197&amp;"|All",Plan!$G$38:$G$51,0)))</f>
        <v>150</v>
      </c>
      <c r="I197" s="17" t="n">
        <f aca="false">IFERROR(INDEX(Plan!$E$38:$E$51,MATCH(B197&amp;"|"&amp;D197&amp;"|"&amp;E197,Plan!$G$38:$G$51,0)),INDEX(Plan!$E$38:$E$51,MATCH(B197&amp;"|"&amp;D197&amp;"|All",Plan!$G$38:$G$51,0)))</f>
        <v>165</v>
      </c>
      <c r="J197" s="8" t="str">
        <f aca="false">IF(F197="","MISSING",IF(AND(F197&gt;=H197,F197&lt;=I197),"OK","OUT"))</f>
        <v>OK</v>
      </c>
      <c r="K197" s="15" t="s">
        <v>108</v>
      </c>
    </row>
    <row r="198" customFormat="false" ht="15" hidden="false" customHeight="false" outlineLevel="0" collapsed="false">
      <c r="A198" s="14" t="n">
        <v>46297</v>
      </c>
      <c r="B198" s="15" t="s">
        <v>66</v>
      </c>
      <c r="C198" s="21" t="n">
        <v>0.6875</v>
      </c>
      <c r="D198" s="15" t="s">
        <v>92</v>
      </c>
      <c r="E198" s="15" t="s">
        <v>62</v>
      </c>
      <c r="F198" s="16" t="n">
        <v>40</v>
      </c>
      <c r="G198" s="17" t="str">
        <f aca="false">IFERROR(INDEX(Plan!$F$38:$F$51,MATCH(B198&amp;"|"&amp;D198&amp;"|"&amp;E198,Plan!$G$38:$G$51,0)),INDEX(Plan!$F$38:$F$51,MATCH(B198&amp;"|"&amp;D198&amp;"|All",Plan!$G$38:$G$51,0)))</f>
        <v>pouches/min</v>
      </c>
      <c r="H198" s="17" t="n">
        <f aca="false">IFERROR(INDEX(Plan!$D$38:$D$51,MATCH(B198&amp;"|"&amp;D198&amp;"|"&amp;E198,Plan!$G$38:$G$51,0)),INDEX(Plan!$D$38:$D$51,MATCH(B198&amp;"|"&amp;D198&amp;"|All",Plan!$G$38:$G$51,0)))</f>
        <v>38</v>
      </c>
      <c r="I198" s="17" t="n">
        <f aca="false">IFERROR(INDEX(Plan!$E$38:$E$51,MATCH(B198&amp;"|"&amp;D198&amp;"|"&amp;E198,Plan!$G$38:$G$51,0)),INDEX(Plan!$E$38:$E$51,MATCH(B198&amp;"|"&amp;D198&amp;"|All",Plan!$G$38:$G$51,0)))</f>
        <v>42</v>
      </c>
      <c r="J198" s="8" t="str">
        <f aca="false">IF(F198="","MISSING",IF(AND(F198&gt;=H198,F198&lt;=I198),"OK","OUT"))</f>
        <v>OK</v>
      </c>
      <c r="K198" s="15" t="s">
        <v>108</v>
      </c>
    </row>
    <row r="199" customFormat="false" ht="15" hidden="false" customHeight="false" outlineLevel="0" collapsed="false">
      <c r="A199" s="14" t="n">
        <v>46297</v>
      </c>
      <c r="B199" s="15" t="s">
        <v>66</v>
      </c>
      <c r="C199" s="21" t="n">
        <v>0.6875</v>
      </c>
      <c r="D199" s="22" t="s">
        <v>94</v>
      </c>
      <c r="E199" s="15" t="s">
        <v>62</v>
      </c>
      <c r="F199" s="23" t="n">
        <v>201.7</v>
      </c>
      <c r="G199" s="17" t="str">
        <f aca="false">IFERROR(INDEX(Plan!$F$38:$F$51,MATCH(B199&amp;"|"&amp;D199&amp;"|"&amp;E199,Plan!$G$38:$G$51,0)),INDEX(Plan!$F$38:$F$51,MATCH(B199&amp;"|"&amp;D199&amp;"|All",Plan!$G$38:$G$51,0)))</f>
        <v>g</v>
      </c>
      <c r="H199" s="17" t="n">
        <f aca="false">IFERROR(INDEX(Plan!$D$38:$D$51,MATCH(B199&amp;"|"&amp;D199&amp;"|"&amp;E199,Plan!$G$38:$G$51,0)),INDEX(Plan!$D$38:$D$51,MATCH(B199&amp;"|"&amp;D199&amp;"|All",Plan!$G$38:$G$51,0)))</f>
        <v>200</v>
      </c>
      <c r="I199" s="17" t="n">
        <f aca="false">IFERROR(INDEX(Plan!$E$38:$E$51,MATCH(B199&amp;"|"&amp;D199&amp;"|"&amp;E199,Plan!$G$38:$G$51,0)),INDEX(Plan!$E$38:$E$51,MATCH(B199&amp;"|"&amp;D199&amp;"|All",Plan!$G$38:$G$51,0)))</f>
        <v>203</v>
      </c>
      <c r="J199" s="8" t="str">
        <f aca="false">IF(F199="","MISSING",IF(AND(F199&gt;=H199,F199&lt;=I199),"OK","OUT"))</f>
        <v>OK</v>
      </c>
      <c r="K199" s="15" t="s">
        <v>108</v>
      </c>
    </row>
    <row r="200" customFormat="false" ht="15" hidden="false" customHeight="false" outlineLevel="0" collapsed="false">
      <c r="A200" s="14" t="n">
        <v>46297</v>
      </c>
      <c r="B200" s="15" t="s">
        <v>66</v>
      </c>
      <c r="C200" s="21" t="n">
        <v>0.694444444444444</v>
      </c>
      <c r="D200" s="22" t="s">
        <v>89</v>
      </c>
      <c r="E200" s="15" t="s">
        <v>62</v>
      </c>
      <c r="F200" s="16" t="n">
        <v>310</v>
      </c>
      <c r="G200" s="17" t="str">
        <f aca="false">IFERROR(INDEX(Plan!$F$38:$F$51,MATCH(B200&amp;"|"&amp;D200&amp;"|"&amp;E200,Plan!$G$38:$G$51,0)),INDEX(Plan!$F$38:$F$51,MATCH(B200&amp;"|"&amp;D200&amp;"|All",Plan!$G$38:$G$51,0)))</f>
        <v>Pa</v>
      </c>
      <c r="H200" s="17" t="n">
        <f aca="false">IFERROR(INDEX(Plan!$D$38:$D$51,MATCH(B200&amp;"|"&amp;D200&amp;"|"&amp;E200,Plan!$G$38:$G$51,0)),INDEX(Plan!$D$38:$D$51,MATCH(B200&amp;"|"&amp;D200&amp;"|All",Plan!$G$38:$G$51,0)))</f>
        <v>250</v>
      </c>
      <c r="I200" s="17" t="n">
        <f aca="false">IFERROR(INDEX(Plan!$E$38:$E$51,MATCH(B200&amp;"|"&amp;D200&amp;"|"&amp;E200,Plan!$G$38:$G$51,0)),INDEX(Plan!$E$38:$E$51,MATCH(B200&amp;"|"&amp;D200&amp;"|All",Plan!$G$38:$G$51,0)))</f>
        <v>400</v>
      </c>
      <c r="J200" s="8" t="str">
        <f aca="false">IF(F200="","MISSING",IF(AND(F200&gt;=H200,F200&lt;=I200),"OK","OUT"))</f>
        <v>OK</v>
      </c>
      <c r="K200" s="15" t="s">
        <v>108</v>
      </c>
    </row>
    <row r="201" customFormat="false" ht="15" hidden="false" customHeight="false" outlineLevel="0" collapsed="false">
      <c r="A201" s="14" t="n">
        <v>46297</v>
      </c>
      <c r="B201" s="15" t="s">
        <v>66</v>
      </c>
      <c r="C201" s="21" t="n">
        <v>0.694444444444444</v>
      </c>
      <c r="D201" s="15" t="s">
        <v>91</v>
      </c>
      <c r="E201" s="15" t="s">
        <v>62</v>
      </c>
      <c r="F201" s="16" t="n">
        <v>158</v>
      </c>
      <c r="G201" s="17" t="str">
        <f aca="false">IFERROR(INDEX(Plan!$F$38:$F$51,MATCH(B201&amp;"|"&amp;D201&amp;"|"&amp;E201,Plan!$G$38:$G$51,0)),INDEX(Plan!$F$38:$F$51,MATCH(B201&amp;"|"&amp;D201&amp;"|All",Plan!$G$38:$G$51,0)))</f>
        <v>°C</v>
      </c>
      <c r="H201" s="17" t="n">
        <f aca="false">IFERROR(INDEX(Plan!$D$38:$D$51,MATCH(B201&amp;"|"&amp;D201&amp;"|"&amp;E201,Plan!$G$38:$G$51,0)),INDEX(Plan!$D$38:$D$51,MATCH(B201&amp;"|"&amp;D201&amp;"|All",Plan!$G$38:$G$51,0)))</f>
        <v>150</v>
      </c>
      <c r="I201" s="17" t="n">
        <f aca="false">IFERROR(INDEX(Plan!$E$38:$E$51,MATCH(B201&amp;"|"&amp;D201&amp;"|"&amp;E201,Plan!$G$38:$G$51,0)),INDEX(Plan!$E$38:$E$51,MATCH(B201&amp;"|"&amp;D201&amp;"|All",Plan!$G$38:$G$51,0)))</f>
        <v>165</v>
      </c>
      <c r="J201" s="8" t="str">
        <f aca="false">IF(F201="","MISSING",IF(AND(F201&gt;=H201,F201&lt;=I201),"OK","OUT"))</f>
        <v>OK</v>
      </c>
      <c r="K201" s="15" t="s">
        <v>108</v>
      </c>
    </row>
    <row r="202" customFormat="false" ht="15" hidden="false" customHeight="false" outlineLevel="0" collapsed="false">
      <c r="A202" s="14" t="n">
        <v>46297</v>
      </c>
      <c r="B202" s="15" t="s">
        <v>66</v>
      </c>
      <c r="C202" s="21" t="n">
        <v>0.694444444444444</v>
      </c>
      <c r="D202" s="15" t="s">
        <v>92</v>
      </c>
      <c r="E202" s="15" t="s">
        <v>62</v>
      </c>
      <c r="F202" s="16" t="n">
        <v>40</v>
      </c>
      <c r="G202" s="17" t="str">
        <f aca="false">IFERROR(INDEX(Plan!$F$38:$F$51,MATCH(B202&amp;"|"&amp;D202&amp;"|"&amp;E202,Plan!$G$38:$G$51,0)),INDEX(Plan!$F$38:$F$51,MATCH(B202&amp;"|"&amp;D202&amp;"|All",Plan!$G$38:$G$51,0)))</f>
        <v>pouches/min</v>
      </c>
      <c r="H202" s="17" t="n">
        <f aca="false">IFERROR(INDEX(Plan!$D$38:$D$51,MATCH(B202&amp;"|"&amp;D202&amp;"|"&amp;E202,Plan!$G$38:$G$51,0)),INDEX(Plan!$D$38:$D$51,MATCH(B202&amp;"|"&amp;D202&amp;"|All",Plan!$G$38:$G$51,0)))</f>
        <v>38</v>
      </c>
      <c r="I202" s="17" t="n">
        <f aca="false">IFERROR(INDEX(Plan!$E$38:$E$51,MATCH(B202&amp;"|"&amp;D202&amp;"|"&amp;E202,Plan!$G$38:$G$51,0)),INDEX(Plan!$E$38:$E$51,MATCH(B202&amp;"|"&amp;D202&amp;"|All",Plan!$G$38:$G$51,0)))</f>
        <v>42</v>
      </c>
      <c r="J202" s="8" t="str">
        <f aca="false">IF(F202="","MISSING",IF(AND(F202&gt;=H202,F202&lt;=I202),"OK","OUT"))</f>
        <v>OK</v>
      </c>
      <c r="K202" s="15" t="s">
        <v>108</v>
      </c>
    </row>
    <row r="203" customFormat="false" ht="15" hidden="false" customHeight="false" outlineLevel="0" collapsed="false">
      <c r="A203" s="14" t="n">
        <v>46297</v>
      </c>
      <c r="B203" s="15" t="s">
        <v>66</v>
      </c>
      <c r="C203" s="21" t="n">
        <v>0.694444444444444</v>
      </c>
      <c r="D203" s="22" t="s">
        <v>94</v>
      </c>
      <c r="E203" s="15" t="s">
        <v>62</v>
      </c>
      <c r="F203" s="23" t="n">
        <v>201.1</v>
      </c>
      <c r="G203" s="17" t="str">
        <f aca="false">IFERROR(INDEX(Plan!$F$38:$F$51,MATCH(B203&amp;"|"&amp;D203&amp;"|"&amp;E203,Plan!$G$38:$G$51,0)),INDEX(Plan!$F$38:$F$51,MATCH(B203&amp;"|"&amp;D203&amp;"|All",Plan!$G$38:$G$51,0)))</f>
        <v>g</v>
      </c>
      <c r="H203" s="17" t="n">
        <f aca="false">IFERROR(INDEX(Plan!$D$38:$D$51,MATCH(B203&amp;"|"&amp;D203&amp;"|"&amp;E203,Plan!$G$38:$G$51,0)),INDEX(Plan!$D$38:$D$51,MATCH(B203&amp;"|"&amp;D203&amp;"|All",Plan!$G$38:$G$51,0)))</f>
        <v>200</v>
      </c>
      <c r="I203" s="17" t="n">
        <f aca="false">IFERROR(INDEX(Plan!$E$38:$E$51,MATCH(B203&amp;"|"&amp;D203&amp;"|"&amp;E203,Plan!$G$38:$G$51,0)),INDEX(Plan!$E$38:$E$51,MATCH(B203&amp;"|"&amp;D203&amp;"|All",Plan!$G$38:$G$51,0)))</f>
        <v>203</v>
      </c>
      <c r="J203" s="8" t="str">
        <f aca="false">IF(F203="","MISSING",IF(AND(F203&gt;=H203,F203&lt;=I203),"OK","OUT"))</f>
        <v>OK</v>
      </c>
      <c r="K203" s="15" t="s">
        <v>108</v>
      </c>
    </row>
  </sheetData>
  <conditionalFormatting sqref="J2:J203">
    <cfRule type="cellIs" priority="2" operator="equal" aboveAverage="0" equalAverage="0" bottom="0" percent="0" rank="0" text="" dxfId="0">
      <formula>"OUT"</formula>
    </cfRule>
    <cfRule type="cellIs" priority="3" operator="equal" aboveAverage="0" equalAverage="0" bottom="0" percent="0" rank="0" text="" dxfId="1">
      <formula>"MISSING"</formula>
    </cfRule>
  </conditionalFormatting>
  <dataValidations count="1">
    <dataValidation allowBlank="true" errorStyle="stop" operator="between" showDropDown="false" showErrorMessage="false" showInputMessage="false" sqref="B2:B600" type="list">
      <formula1>Lists!$A$2:$A$4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0"/>
    <col collapsed="false" customWidth="true" hidden="false" outlineLevel="0" max="4" min="4" style="0" width="18"/>
    <col collapsed="false" customWidth="true" hidden="false" outlineLevel="0" max="5" min="5" style="0" width="26"/>
    <col collapsed="false" customWidth="true" hidden="false" outlineLevel="0" max="6" min="6" style="0" width="24"/>
    <col collapsed="false" customWidth="true" hidden="false" outlineLevel="0" max="7" min="7" style="0" width="26"/>
    <col collapsed="false" customWidth="true" hidden="false" outlineLevel="0" max="8" min="8" style="0" width="16"/>
    <col collapsed="false" customWidth="true" hidden="false" outlineLevel="0" max="9" min="9" style="0" width="15"/>
    <col collapsed="false" customWidth="true" hidden="false" outlineLevel="0" max="10" min="10" style="0" width="44"/>
  </cols>
  <sheetData>
    <row r="1" customFormat="false" ht="33.75" hidden="false" customHeight="true" outlineLevel="0" collapsed="false">
      <c r="A1" s="5" t="s">
        <v>96</v>
      </c>
      <c r="B1" s="5" t="s">
        <v>56</v>
      </c>
      <c r="C1" s="5" t="s">
        <v>135</v>
      </c>
      <c r="D1" s="5" t="s">
        <v>136</v>
      </c>
      <c r="E1" s="5" t="s">
        <v>137</v>
      </c>
      <c r="F1" s="5" t="s">
        <v>138</v>
      </c>
      <c r="G1" s="5" t="s">
        <v>139</v>
      </c>
      <c r="H1" s="5" t="s">
        <v>140</v>
      </c>
      <c r="I1" s="5" t="s">
        <v>141</v>
      </c>
      <c r="J1" s="5" t="s">
        <v>42</v>
      </c>
    </row>
    <row r="2" customFormat="false" ht="23.85" hidden="false" customHeight="false" outlineLevel="0" collapsed="false">
      <c r="A2" s="14" t="n">
        <v>46293</v>
      </c>
      <c r="B2" s="15" t="s">
        <v>61</v>
      </c>
      <c r="C2" s="21" t="n">
        <v>0.444444444444444</v>
      </c>
      <c r="D2" s="15" t="s">
        <v>142</v>
      </c>
      <c r="E2" s="15" t="s">
        <v>143</v>
      </c>
      <c r="F2" s="22" t="s">
        <v>144</v>
      </c>
      <c r="G2" s="22" t="s">
        <v>145</v>
      </c>
      <c r="H2" s="15" t="s">
        <v>146</v>
      </c>
      <c r="I2" s="15" t="s">
        <v>147</v>
      </c>
      <c r="J2" s="22" t="s">
        <v>148</v>
      </c>
    </row>
    <row r="3" customFormat="false" ht="15" hidden="false" customHeight="false" outlineLevel="0" collapsed="false">
      <c r="A3" s="14" t="n">
        <v>46293</v>
      </c>
      <c r="B3" s="15" t="s">
        <v>61</v>
      </c>
      <c r="C3" s="21" t="n">
        <v>0.486111111111111</v>
      </c>
      <c r="D3" s="15" t="s">
        <v>149</v>
      </c>
      <c r="E3" s="15" t="s">
        <v>73</v>
      </c>
      <c r="F3" s="15" t="s">
        <v>150</v>
      </c>
      <c r="G3" s="15" t="s">
        <v>151</v>
      </c>
      <c r="H3" s="15" t="s">
        <v>152</v>
      </c>
      <c r="I3" s="15" t="s">
        <v>147</v>
      </c>
      <c r="J3" s="22" t="s">
        <v>153</v>
      </c>
    </row>
    <row r="4" customFormat="false" ht="15" hidden="false" customHeight="false" outlineLevel="0" collapsed="false">
      <c r="A4" s="14" t="n">
        <v>46293</v>
      </c>
      <c r="B4" s="15" t="s">
        <v>61</v>
      </c>
      <c r="C4" s="21" t="n">
        <v>0.5625</v>
      </c>
      <c r="D4" s="15" t="s">
        <v>142</v>
      </c>
      <c r="E4" s="15" t="s">
        <v>143</v>
      </c>
      <c r="F4" s="15" t="s">
        <v>154</v>
      </c>
      <c r="G4" s="15" t="s">
        <v>155</v>
      </c>
      <c r="H4" s="15" t="s">
        <v>156</v>
      </c>
      <c r="I4" s="15" t="s">
        <v>157</v>
      </c>
      <c r="J4" s="22" t="s">
        <v>158</v>
      </c>
    </row>
    <row r="5" customFormat="false" ht="15" hidden="false" customHeight="false" outlineLevel="0" collapsed="false">
      <c r="A5" s="14" t="n">
        <v>46293</v>
      </c>
      <c r="B5" s="15" t="s">
        <v>61</v>
      </c>
      <c r="C5" s="21" t="n">
        <v>0.5625</v>
      </c>
      <c r="D5" s="15" t="s">
        <v>149</v>
      </c>
      <c r="E5" s="15" t="s">
        <v>73</v>
      </c>
      <c r="F5" s="15" t="s">
        <v>151</v>
      </c>
      <c r="G5" s="15" t="s">
        <v>150</v>
      </c>
      <c r="H5" s="15" t="s">
        <v>156</v>
      </c>
      <c r="I5" s="15" t="s">
        <v>157</v>
      </c>
      <c r="J5" s="15"/>
    </row>
    <row r="6" customFormat="false" ht="15" hidden="false" customHeight="false" outlineLevel="0" collapsed="false">
      <c r="A6" s="14" t="n">
        <v>46295</v>
      </c>
      <c r="B6" s="15" t="s">
        <v>64</v>
      </c>
      <c r="C6" s="21" t="n">
        <v>0.375</v>
      </c>
      <c r="D6" s="15" t="s">
        <v>159</v>
      </c>
      <c r="E6" s="22" t="s">
        <v>160</v>
      </c>
      <c r="F6" s="15" t="s">
        <v>161</v>
      </c>
      <c r="G6" s="15" t="s">
        <v>162</v>
      </c>
      <c r="H6" s="15" t="s">
        <v>163</v>
      </c>
      <c r="I6" s="15" t="s">
        <v>147</v>
      </c>
      <c r="J6" s="22" t="s">
        <v>164</v>
      </c>
    </row>
    <row r="7" customFormat="false" ht="15" hidden="false" customHeight="false" outlineLevel="0" collapsed="false">
      <c r="A7" s="14" t="n">
        <v>46295</v>
      </c>
      <c r="B7" s="15" t="s">
        <v>64</v>
      </c>
      <c r="C7" s="21" t="n">
        <v>0.46875</v>
      </c>
      <c r="D7" s="15" t="s">
        <v>149</v>
      </c>
      <c r="E7" s="15" t="s">
        <v>79</v>
      </c>
      <c r="F7" s="15" t="s">
        <v>165</v>
      </c>
      <c r="G7" s="15" t="s">
        <v>166</v>
      </c>
      <c r="H7" s="15" t="s">
        <v>167</v>
      </c>
      <c r="I7" s="15" t="s">
        <v>147</v>
      </c>
      <c r="J7" s="22" t="s">
        <v>168</v>
      </c>
    </row>
    <row r="8" customFormat="false" ht="15" hidden="false" customHeight="false" outlineLevel="0" collapsed="false">
      <c r="A8" s="14" t="n">
        <v>46295</v>
      </c>
      <c r="B8" s="15" t="s">
        <v>64</v>
      </c>
      <c r="C8" s="21" t="n">
        <v>0.5625</v>
      </c>
      <c r="D8" s="15" t="s">
        <v>149</v>
      </c>
      <c r="E8" s="15" t="s">
        <v>79</v>
      </c>
      <c r="F8" s="15" t="s">
        <v>166</v>
      </c>
      <c r="G8" s="15" t="s">
        <v>165</v>
      </c>
      <c r="H8" s="15" t="s">
        <v>169</v>
      </c>
      <c r="I8" s="15" t="s">
        <v>157</v>
      </c>
      <c r="J8" s="22" t="s">
        <v>170</v>
      </c>
    </row>
    <row r="9" customFormat="false" ht="15" hidden="false" customHeight="false" outlineLevel="0" collapsed="false">
      <c r="A9" s="14" t="n">
        <v>46295</v>
      </c>
      <c r="B9" s="15" t="s">
        <v>64</v>
      </c>
      <c r="C9" s="21" t="n">
        <v>0.625</v>
      </c>
      <c r="D9" s="15" t="s">
        <v>171</v>
      </c>
      <c r="E9" s="15" t="s">
        <v>172</v>
      </c>
      <c r="F9" s="15" t="s">
        <v>173</v>
      </c>
      <c r="G9" s="15" t="s">
        <v>174</v>
      </c>
      <c r="H9" s="15" t="s">
        <v>175</v>
      </c>
      <c r="I9" s="15" t="s">
        <v>157</v>
      </c>
      <c r="J9" s="15" t="s">
        <v>176</v>
      </c>
    </row>
    <row r="10" customFormat="false" ht="23.85" hidden="false" customHeight="false" outlineLevel="0" collapsed="false">
      <c r="A10" s="14" t="n">
        <v>46297</v>
      </c>
      <c r="B10" s="15" t="s">
        <v>66</v>
      </c>
      <c r="C10" s="21" t="n">
        <v>0.375</v>
      </c>
      <c r="D10" s="15" t="s">
        <v>171</v>
      </c>
      <c r="E10" s="15" t="s">
        <v>177</v>
      </c>
      <c r="F10" s="15" t="s">
        <v>178</v>
      </c>
      <c r="G10" s="15" t="s">
        <v>179</v>
      </c>
      <c r="H10" s="15" t="s">
        <v>175</v>
      </c>
      <c r="I10" s="15" t="s">
        <v>180</v>
      </c>
      <c r="J10" s="22" t="s">
        <v>181</v>
      </c>
    </row>
    <row r="11" customFormat="false" ht="15" hidden="false" customHeight="false" outlineLevel="0" collapsed="false">
      <c r="A11" s="14" t="n">
        <v>46297</v>
      </c>
      <c r="B11" s="15" t="s">
        <v>66</v>
      </c>
      <c r="C11" s="21" t="n">
        <v>0.486111111111111</v>
      </c>
      <c r="D11" s="15" t="s">
        <v>149</v>
      </c>
      <c r="E11" s="15" t="s">
        <v>91</v>
      </c>
      <c r="F11" s="15" t="s">
        <v>182</v>
      </c>
      <c r="G11" s="15" t="s">
        <v>183</v>
      </c>
      <c r="H11" s="15" t="s">
        <v>184</v>
      </c>
      <c r="I11" s="15" t="s">
        <v>147</v>
      </c>
      <c r="J11" s="22" t="s">
        <v>185</v>
      </c>
    </row>
    <row r="12" customFormat="false" ht="15" hidden="false" customHeight="false" outlineLevel="0" collapsed="false">
      <c r="A12" s="14" t="n">
        <v>46297</v>
      </c>
      <c r="B12" s="15" t="s">
        <v>66</v>
      </c>
      <c r="C12" s="21" t="n">
        <v>0.506944444444444</v>
      </c>
      <c r="D12" s="15" t="s">
        <v>149</v>
      </c>
      <c r="E12" s="15" t="s">
        <v>92</v>
      </c>
      <c r="F12" s="15" t="s">
        <v>186</v>
      </c>
      <c r="G12" s="15" t="s">
        <v>187</v>
      </c>
      <c r="H12" s="15" t="s">
        <v>184</v>
      </c>
      <c r="I12" s="15" t="s">
        <v>147</v>
      </c>
      <c r="J12" s="22" t="s">
        <v>188</v>
      </c>
    </row>
    <row r="13" customFormat="false" ht="15" hidden="false" customHeight="false" outlineLevel="0" collapsed="false">
      <c r="A13" s="14" t="n">
        <v>46297</v>
      </c>
      <c r="B13" s="15" t="s">
        <v>66</v>
      </c>
      <c r="C13" s="21" t="n">
        <v>0.611111111111111</v>
      </c>
      <c r="D13" s="15" t="s">
        <v>171</v>
      </c>
      <c r="E13" s="22" t="s">
        <v>189</v>
      </c>
      <c r="F13" s="15" t="s">
        <v>190</v>
      </c>
      <c r="G13" s="15" t="s">
        <v>191</v>
      </c>
      <c r="H13" s="15" t="s">
        <v>175</v>
      </c>
      <c r="I13" s="15" t="s">
        <v>157</v>
      </c>
      <c r="J13" s="22" t="s">
        <v>192</v>
      </c>
    </row>
    <row r="14" customFormat="false" ht="15" hidden="false" customHeight="false" outlineLevel="0" collapsed="false">
      <c r="A14" s="14" t="n">
        <v>46297</v>
      </c>
      <c r="B14" s="15" t="s">
        <v>66</v>
      </c>
      <c r="C14" s="21" t="n">
        <v>0.625</v>
      </c>
      <c r="D14" s="15" t="s">
        <v>149</v>
      </c>
      <c r="E14" s="22" t="s">
        <v>193</v>
      </c>
      <c r="F14" s="15" t="s">
        <v>194</v>
      </c>
      <c r="G14" s="15" t="s">
        <v>195</v>
      </c>
      <c r="H14" s="15" t="s">
        <v>156</v>
      </c>
      <c r="I14" s="15" t="s">
        <v>157</v>
      </c>
      <c r="J14" s="15" t="s">
        <v>196</v>
      </c>
    </row>
  </sheetData>
  <dataValidations count="3">
    <dataValidation allowBlank="true" errorStyle="stop" operator="between" showDropDown="false" showErrorMessage="false" showInputMessage="false" sqref="B2:B400" type="list">
      <formula1>Lists!$A$2:$A$4</formula1>
      <formula2>0</formula2>
    </dataValidation>
    <dataValidation allowBlank="true" errorStyle="stop" operator="between" showDropDown="false" showErrorMessage="false" showInputMessage="false" sqref="D2:D400" type="list">
      <formula1>Lists!$D$2:$D$6</formula1>
      <formula2>0</formula2>
    </dataValidation>
    <dataValidation allowBlank="true" errorStyle="stop" operator="between" showDropDown="false" showErrorMessage="false" showInputMessage="false" sqref="I2:I400" type="list">
      <formula1>Lists!$E$2:$E$4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0"/>
    <col collapsed="false" customWidth="true" hidden="false" outlineLevel="0" max="5" min="5" style="0" width="14"/>
    <col collapsed="false" customWidth="true" hidden="false" outlineLevel="0" max="6" min="6" style="0" width="10"/>
    <col collapsed="false" customWidth="true" hidden="false" outlineLevel="0" max="7" min="7" style="0" width="42"/>
    <col collapsed="false" customWidth="true" hidden="false" outlineLevel="0" max="8" min="8" style="0" width="10"/>
    <col collapsed="false" customWidth="true" hidden="false" outlineLevel="0" max="9" min="9" style="0" width="9"/>
    <col collapsed="false" customWidth="true" hidden="false" outlineLevel="0" max="10" min="10" style="0" width="11"/>
    <col collapsed="false" customWidth="true" hidden="false" outlineLevel="0" max="11" min="11" style="0" width="10"/>
  </cols>
  <sheetData>
    <row r="1" customFormat="false" ht="33.75" hidden="false" customHeight="true" outlineLevel="0" collapsed="false">
      <c r="A1" s="5" t="s">
        <v>96</v>
      </c>
      <c r="B1" s="5" t="s">
        <v>56</v>
      </c>
      <c r="C1" s="5" t="s">
        <v>197</v>
      </c>
      <c r="D1" s="5" t="s">
        <v>198</v>
      </c>
      <c r="E1" s="5" t="s">
        <v>199</v>
      </c>
      <c r="F1" s="5" t="s">
        <v>200</v>
      </c>
      <c r="G1" s="5" t="s">
        <v>201</v>
      </c>
      <c r="H1" s="5" t="s">
        <v>202</v>
      </c>
      <c r="I1" s="5" t="s">
        <v>203</v>
      </c>
      <c r="J1" s="5" t="s">
        <v>204</v>
      </c>
      <c r="K1" s="5" t="s">
        <v>105</v>
      </c>
    </row>
    <row r="2" customFormat="false" ht="15" hidden="false" customHeight="false" outlineLevel="0" collapsed="false">
      <c r="A2" s="14" t="n">
        <v>46293</v>
      </c>
      <c r="B2" s="15" t="s">
        <v>61</v>
      </c>
      <c r="C2" s="22" t="s">
        <v>205</v>
      </c>
      <c r="D2" s="21" t="n">
        <v>0.465277777777778</v>
      </c>
      <c r="E2" s="15"/>
      <c r="F2" s="21"/>
      <c r="G2" s="22" t="s">
        <v>206</v>
      </c>
      <c r="H2" s="21"/>
      <c r="I2" s="15" t="s">
        <v>207</v>
      </c>
      <c r="J2" s="8" t="str">
        <f aca="false">IF(H2="","",ROUND((H2-D2)*1440,0))</f>
        <v/>
      </c>
      <c r="K2" s="15" t="s">
        <v>106</v>
      </c>
    </row>
    <row r="3" customFormat="false" ht="23.85" hidden="false" customHeight="false" outlineLevel="0" collapsed="false">
      <c r="A3" s="14" t="n">
        <v>46293</v>
      </c>
      <c r="B3" s="15" t="s">
        <v>61</v>
      </c>
      <c r="C3" s="22" t="s">
        <v>205</v>
      </c>
      <c r="D3" s="21" t="n">
        <v>0.465277777777778</v>
      </c>
      <c r="E3" s="15" t="s">
        <v>156</v>
      </c>
      <c r="F3" s="21" t="n">
        <v>0.527777777777778</v>
      </c>
      <c r="G3" s="22" t="s">
        <v>208</v>
      </c>
      <c r="H3" s="21" t="n">
        <v>0.5625</v>
      </c>
      <c r="I3" s="15" t="s">
        <v>209</v>
      </c>
      <c r="J3" s="8" t="n">
        <f aca="false">IF(H3="","",ROUND((H3-D3)*1440,0))</f>
        <v>140</v>
      </c>
      <c r="K3" s="15" t="s">
        <v>106</v>
      </c>
    </row>
    <row r="4" customFormat="false" ht="15" hidden="false" customHeight="false" outlineLevel="0" collapsed="false">
      <c r="A4" s="14" t="n">
        <v>46295</v>
      </c>
      <c r="B4" s="15" t="s">
        <v>64</v>
      </c>
      <c r="C4" s="22" t="s">
        <v>210</v>
      </c>
      <c r="D4" s="21" t="n">
        <v>0.458333333333333</v>
      </c>
      <c r="E4" s="15"/>
      <c r="F4" s="21"/>
      <c r="G4" s="22" t="s">
        <v>211</v>
      </c>
      <c r="H4" s="21"/>
      <c r="I4" s="15" t="s">
        <v>212</v>
      </c>
      <c r="J4" s="8" t="str">
        <f aca="false">IF(H4="","",ROUND((H4-D4)*1440,0))</f>
        <v/>
      </c>
      <c r="K4" s="15" t="s">
        <v>107</v>
      </c>
    </row>
    <row r="5" customFormat="false" ht="23.85" hidden="false" customHeight="false" outlineLevel="0" collapsed="false">
      <c r="A5" s="14" t="n">
        <v>46295</v>
      </c>
      <c r="B5" s="15" t="s">
        <v>64</v>
      </c>
      <c r="C5" s="22" t="s">
        <v>213</v>
      </c>
      <c r="D5" s="21" t="n">
        <v>0.503472222222222</v>
      </c>
      <c r="E5" s="15" t="s">
        <v>175</v>
      </c>
      <c r="F5" s="21" t="n">
        <v>0.513888888888889</v>
      </c>
      <c r="G5" s="22" t="s">
        <v>214</v>
      </c>
      <c r="H5" s="21" t="n">
        <v>0.625</v>
      </c>
      <c r="I5" s="15" t="s">
        <v>209</v>
      </c>
      <c r="J5" s="8" t="n">
        <f aca="false">IF(H5="","",ROUND((H5-D5)*1440,0))</f>
        <v>175</v>
      </c>
      <c r="K5" s="15" t="s">
        <v>107</v>
      </c>
    </row>
    <row r="6" customFormat="false" ht="15" hidden="false" customHeight="false" outlineLevel="0" collapsed="false">
      <c r="A6" s="14" t="n">
        <v>46297</v>
      </c>
      <c r="B6" s="15" t="s">
        <v>66</v>
      </c>
      <c r="C6" s="22" t="s">
        <v>215</v>
      </c>
      <c r="D6" s="21" t="n">
        <v>0.479166666666667</v>
      </c>
      <c r="E6" s="15"/>
      <c r="F6" s="21"/>
      <c r="G6" s="22" t="s">
        <v>216</v>
      </c>
      <c r="H6" s="21"/>
      <c r="I6" s="15" t="s">
        <v>212</v>
      </c>
      <c r="J6" s="8" t="str">
        <f aca="false">IF(H6="","",ROUND((H6-D6)*1440,0))</f>
        <v/>
      </c>
      <c r="K6" s="15" t="s">
        <v>108</v>
      </c>
    </row>
    <row r="7" customFormat="false" ht="23.85" hidden="false" customHeight="false" outlineLevel="0" collapsed="false">
      <c r="A7" s="14" t="n">
        <v>46297</v>
      </c>
      <c r="B7" s="15" t="s">
        <v>66</v>
      </c>
      <c r="C7" s="22" t="s">
        <v>215</v>
      </c>
      <c r="D7" s="21" t="n">
        <v>0.479166666666667</v>
      </c>
      <c r="E7" s="15" t="s">
        <v>175</v>
      </c>
      <c r="F7" s="21" t="n">
        <v>0.572916666666667</v>
      </c>
      <c r="G7" s="22" t="s">
        <v>217</v>
      </c>
      <c r="H7" s="21" t="n">
        <v>0.625</v>
      </c>
      <c r="I7" s="15" t="s">
        <v>209</v>
      </c>
      <c r="J7" s="8" t="n">
        <f aca="false">IF(H7="","",ROUND((H7-D7)*1440,0))</f>
        <v>210</v>
      </c>
      <c r="K7" s="15" t="s">
        <v>108</v>
      </c>
    </row>
  </sheetData>
  <dataValidations count="2">
    <dataValidation allowBlank="true" errorStyle="stop" operator="between" showDropDown="false" showErrorMessage="false" showInputMessage="false" sqref="B2:B400" type="list">
      <formula1>Lists!$A$2:$A$4</formula1>
      <formula2>0</formula2>
    </dataValidation>
    <dataValidation allowBlank="true" errorStyle="stop" operator="between" showDropDown="false" showErrorMessage="false" showInputMessage="false" sqref="I2:I400" type="list">
      <formula1>Lists!$F$2:$F$4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4" min="3" style="0" width="10"/>
    <col collapsed="false" customWidth="true" hidden="false" outlineLevel="0" max="7" min="5" style="0" width="9"/>
    <col collapsed="false" customWidth="true" hidden="false" outlineLevel="0" max="8" min="8" style="0" width="10"/>
    <col collapsed="false" customWidth="true" hidden="false" outlineLevel="0" max="10" min="9" style="0" width="9"/>
    <col collapsed="false" customWidth="true" hidden="false" outlineLevel="0" max="13" min="11" style="0" width="11"/>
  </cols>
  <sheetData>
    <row r="1" customFormat="false" ht="17.35" hidden="false" customHeight="false" outlineLevel="0" collapsed="false">
      <c r="A1" s="1" t="s">
        <v>218</v>
      </c>
    </row>
    <row r="3" customFormat="false" ht="33.75" hidden="false" customHeight="true" outlineLevel="0" collapsed="false">
      <c r="A3" s="5" t="s">
        <v>56</v>
      </c>
      <c r="B3" s="5" t="s">
        <v>96</v>
      </c>
      <c r="C3" s="5" t="s">
        <v>100</v>
      </c>
      <c r="D3" s="5" t="s">
        <v>219</v>
      </c>
      <c r="E3" s="5" t="s">
        <v>102</v>
      </c>
      <c r="F3" s="5" t="s">
        <v>220</v>
      </c>
      <c r="G3" s="5" t="s">
        <v>221</v>
      </c>
      <c r="H3" s="5" t="s">
        <v>222</v>
      </c>
      <c r="I3" s="5" t="s">
        <v>223</v>
      </c>
      <c r="J3" s="5" t="s">
        <v>224</v>
      </c>
      <c r="K3" s="5" t="s">
        <v>225</v>
      </c>
      <c r="L3" s="5" t="s">
        <v>226</v>
      </c>
      <c r="M3" s="5" t="s">
        <v>227</v>
      </c>
    </row>
    <row r="4" customFormat="false" ht="15" hidden="false" customHeight="false" outlineLevel="0" collapsed="false">
      <c r="A4" s="8" t="s">
        <v>61</v>
      </c>
      <c r="B4" s="14" t="n">
        <v>46293</v>
      </c>
      <c r="C4" s="20" t="n">
        <f aca="false">SUMIFS(1_Output!$H:$H,1_Output!$B:$B,A4,1_Output!$A:$A,B4)</f>
        <v>7130.58419243986</v>
      </c>
      <c r="D4" s="20" t="n">
        <f aca="false">SUMIFS(1_Output!$E:$E,1_Output!$B:$B,A4,1_Output!$A:$A,B4)</f>
        <v>6487</v>
      </c>
      <c r="E4" s="19" t="n">
        <f aca="false">IF(C4=0,"",D4/C4)</f>
        <v>0.90974313253012</v>
      </c>
      <c r="F4" s="20" t="n">
        <f aca="false">SUMIFS(1_Output!$F:$F,1_Output!$B:$B,A4,1_Output!$A:$A,B4)</f>
        <v>489</v>
      </c>
      <c r="G4" s="8" t="n">
        <f aca="false">SUMIFS(2_Stops!$E:$E,2_Stops!$B:$B,A4,2_Stops!$A:$A,B4)</f>
        <v>26</v>
      </c>
      <c r="H4" s="8" t="n">
        <f aca="false">COUNTIFS(3_Settings!$B:$B,A4,3_Settings!$A:$A,B4,3_Settings!$J:$J,"OUT")</f>
        <v>13</v>
      </c>
      <c r="I4" s="8" t="n">
        <f aca="false">COUNTIFS(3_Settings!$B:$B,A4,3_Settings!$A:$A,B4,3_Settings!$J:$J,"MISSING")</f>
        <v>1</v>
      </c>
      <c r="J4" s="8" t="n">
        <f aca="false">COUNTIFS(4_Changes!$B:$B,A4,4_Changes!$A:$A,B4)</f>
        <v>4</v>
      </c>
      <c r="K4" s="8" t="n">
        <f aca="false">COUNTIFS(4_Changes!$B:$B,A4,4_Changes!$A:$A,B4,4_Changes!$I:$I,"N")</f>
        <v>2</v>
      </c>
      <c r="L4" s="8" t="n">
        <f aca="false">COUNTIFS(5_Response!$B:$B,A4,5_Response!$A:$A,B4,5_Response!$I:$I,"No")+COUNTIFS(5_Response!$B:$B,A4,5_Response!$A:$A,B4,5_Response!$I:$I,"Partly")</f>
        <v>1</v>
      </c>
      <c r="M4" s="24" t="n">
        <f aca="false">IFERROR(AVERAGEIFS(5_Response!$J:$J,5_Response!$B:$B,A4,5_Response!$A:$A,B4),"")</f>
        <v>140</v>
      </c>
    </row>
    <row r="5" customFormat="false" ht="15" hidden="false" customHeight="false" outlineLevel="0" collapsed="false">
      <c r="A5" s="8" t="s">
        <v>64</v>
      </c>
      <c r="B5" s="14" t="n">
        <v>46295</v>
      </c>
      <c r="C5" s="20" t="n">
        <f aca="false">SUMIFS(1_Output!$H:$H,1_Output!$B:$B,A5,1_Output!$A:$A,B5)</f>
        <v>6916.66666666667</v>
      </c>
      <c r="D5" s="20" t="n">
        <f aca="false">SUMIFS(1_Output!$E:$E,1_Output!$B:$B,A5,1_Output!$A:$A,B5)</f>
        <v>4963</v>
      </c>
      <c r="E5" s="19" t="n">
        <f aca="false">IF(C5=0,"",D5/C5)</f>
        <v>0.717542168674699</v>
      </c>
      <c r="F5" s="20" t="n">
        <f aca="false">SUMIFS(1_Output!$F:$F,1_Output!$B:$B,A5,1_Output!$A:$A,B5)</f>
        <v>1041</v>
      </c>
      <c r="G5" s="8" t="n">
        <f aca="false">SUMIFS(2_Stops!$E:$E,2_Stops!$B:$B,A5,2_Stops!$A:$A,B5)</f>
        <v>52</v>
      </c>
      <c r="H5" s="8" t="n">
        <f aca="false">COUNTIFS(3_Settings!$B:$B,A5,3_Settings!$A:$A,B5,3_Settings!$J:$J,"OUT")</f>
        <v>32</v>
      </c>
      <c r="I5" s="8" t="n">
        <f aca="false">COUNTIFS(3_Settings!$B:$B,A5,3_Settings!$A:$A,B5,3_Settings!$J:$J,"MISSING")</f>
        <v>0</v>
      </c>
      <c r="J5" s="8" t="n">
        <f aca="false">COUNTIFS(4_Changes!$B:$B,A5,4_Changes!$A:$A,B5)</f>
        <v>4</v>
      </c>
      <c r="K5" s="8" t="n">
        <f aca="false">COUNTIFS(4_Changes!$B:$B,A5,4_Changes!$A:$A,B5,4_Changes!$I:$I,"N")</f>
        <v>2</v>
      </c>
      <c r="L5" s="8" t="n">
        <f aca="false">COUNTIFS(5_Response!$B:$B,A5,5_Response!$A:$A,B5,5_Response!$I:$I,"No")+COUNTIFS(5_Response!$B:$B,A5,5_Response!$A:$A,B5,5_Response!$I:$I,"Partly")</f>
        <v>1</v>
      </c>
      <c r="M5" s="24" t="n">
        <f aca="false">IFERROR(AVERAGEIFS(5_Response!$J:$J,5_Response!$B:$B,A5,5_Response!$A:$A,B5),"")</f>
        <v>175</v>
      </c>
    </row>
    <row r="6" customFormat="false" ht="15" hidden="false" customHeight="false" outlineLevel="0" collapsed="false">
      <c r="A6" s="8" t="s">
        <v>66</v>
      </c>
      <c r="B6" s="14" t="n">
        <v>46297</v>
      </c>
      <c r="C6" s="20" t="n">
        <f aca="false">SUMIFS(1_Output!$H:$H,1_Output!$B:$B,A6,1_Output!$A:$A,B6)</f>
        <v>32536</v>
      </c>
      <c r="D6" s="20" t="n">
        <f aca="false">SUMIFS(1_Output!$E:$E,1_Output!$B:$B,A6,1_Output!$A:$A,B6)</f>
        <v>27664</v>
      </c>
      <c r="E6" s="19" t="n">
        <f aca="false">IF(C6=0,"",D6/C6)</f>
        <v>0.85025817555938</v>
      </c>
      <c r="F6" s="20" t="n">
        <f aca="false">SUMIFS(1_Output!$F:$F,1_Output!$B:$B,A6,1_Output!$A:$A,B6)</f>
        <v>912</v>
      </c>
      <c r="G6" s="8" t="n">
        <f aca="false">SUMIFS(2_Stops!$E:$E,2_Stops!$B:$B,A6,2_Stops!$A:$A,B6)</f>
        <v>53</v>
      </c>
      <c r="H6" s="8" t="n">
        <f aca="false">COUNTIFS(3_Settings!$B:$B,A6,3_Settings!$A:$A,B6,3_Settings!$J:$J,"OUT")</f>
        <v>18</v>
      </c>
      <c r="I6" s="8" t="n">
        <f aca="false">COUNTIFS(3_Settings!$B:$B,A6,3_Settings!$A:$A,B6,3_Settings!$J:$J,"MISSING")</f>
        <v>1</v>
      </c>
      <c r="J6" s="8" t="n">
        <f aca="false">COUNTIFS(4_Changes!$B:$B,A6,4_Changes!$A:$A,B6)</f>
        <v>5</v>
      </c>
      <c r="K6" s="8" t="n">
        <f aca="false">COUNTIFS(4_Changes!$B:$B,A6,4_Changes!$A:$A,B6,4_Changes!$I:$I,"N")</f>
        <v>2</v>
      </c>
      <c r="L6" s="8" t="n">
        <f aca="false">COUNTIFS(5_Response!$B:$B,A6,5_Response!$A:$A,B6,5_Response!$I:$I,"No")+COUNTIFS(5_Response!$B:$B,A6,5_Response!$A:$A,B6,5_Response!$I:$I,"Partly")</f>
        <v>1</v>
      </c>
      <c r="M6" s="24" t="n">
        <f aca="false">IFERROR(AVERAGEIFS(5_Response!$J:$J,5_Response!$B:$B,A6,5_Response!$A:$A,B6),"")</f>
        <v>210</v>
      </c>
    </row>
    <row r="8" customFormat="false" ht="15" hidden="false" customHeight="false" outlineLevel="0" collapsed="false">
      <c r="A8" s="13" t="s">
        <v>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42"/>
    <col collapsed="false" customWidth="true" hidden="false" outlineLevel="0" max="4" min="4" style="0" width="40"/>
    <col collapsed="false" customWidth="true" hidden="false" outlineLevel="0" max="5" min="5" style="0" width="34"/>
    <col collapsed="false" customWidth="true" hidden="false" outlineLevel="0" max="6" min="6" style="0" width="52"/>
    <col collapsed="false" customWidth="true" hidden="false" outlineLevel="0" max="7" min="7" style="0" width="16"/>
  </cols>
  <sheetData>
    <row r="1" customFormat="false" ht="17.35" hidden="false" customHeight="false" outlineLevel="0" collapsed="false">
      <c r="A1" s="1" t="s">
        <v>229</v>
      </c>
    </row>
    <row r="3" customFormat="false" ht="33.75" hidden="false" customHeight="true" outlineLevel="0" collapsed="false">
      <c r="A3" s="5" t="s">
        <v>56</v>
      </c>
      <c r="B3" s="5" t="s">
        <v>96</v>
      </c>
      <c r="C3" s="5" t="s">
        <v>230</v>
      </c>
      <c r="D3" s="5" t="s">
        <v>231</v>
      </c>
      <c r="E3" s="5" t="s">
        <v>232</v>
      </c>
      <c r="F3" s="5" t="s">
        <v>233</v>
      </c>
      <c r="G3" s="5" t="s">
        <v>234</v>
      </c>
    </row>
    <row r="4" customFormat="false" ht="120" hidden="false" customHeight="true" outlineLevel="0" collapsed="false">
      <c r="A4" s="6" t="s">
        <v>61</v>
      </c>
      <c r="B4" s="25" t="n">
        <v>46293</v>
      </c>
      <c r="C4" s="6" t="s">
        <v>235</v>
      </c>
      <c r="D4" s="6" t="s">
        <v>236</v>
      </c>
      <c r="E4" s="6" t="s">
        <v>237</v>
      </c>
      <c r="F4" s="6" t="s">
        <v>238</v>
      </c>
      <c r="G4" s="6" t="s">
        <v>239</v>
      </c>
    </row>
    <row r="5" customFormat="false" ht="120" hidden="false" customHeight="true" outlineLevel="0" collapsed="false">
      <c r="A5" s="6" t="s">
        <v>64</v>
      </c>
      <c r="B5" s="25" t="n">
        <v>46295</v>
      </c>
      <c r="C5" s="6" t="s">
        <v>240</v>
      </c>
      <c r="D5" s="6" t="s">
        <v>241</v>
      </c>
      <c r="E5" s="6" t="s">
        <v>242</v>
      </c>
      <c r="F5" s="6" t="s">
        <v>243</v>
      </c>
      <c r="G5" s="6" t="s">
        <v>244</v>
      </c>
    </row>
    <row r="6" customFormat="false" ht="120" hidden="false" customHeight="true" outlineLevel="0" collapsed="false">
      <c r="A6" s="6" t="s">
        <v>66</v>
      </c>
      <c r="B6" s="25" t="n">
        <v>46297</v>
      </c>
      <c r="C6" s="6" t="s">
        <v>245</v>
      </c>
      <c r="D6" s="6" t="s">
        <v>246</v>
      </c>
      <c r="E6" s="6" t="s">
        <v>247</v>
      </c>
      <c r="F6" s="6" t="s">
        <v>248</v>
      </c>
      <c r="G6" s="6" t="s">
        <v>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4"/>
  </cols>
  <sheetData>
    <row r="1" customFormat="false" ht="15" hidden="false" customHeight="false" outlineLevel="0" collapsed="false">
      <c r="A1" s="26" t="s">
        <v>56</v>
      </c>
      <c r="B1" s="26" t="s">
        <v>249</v>
      </c>
      <c r="C1" s="26" t="s">
        <v>250</v>
      </c>
      <c r="D1" s="26" t="s">
        <v>251</v>
      </c>
      <c r="E1" s="26" t="s">
        <v>252</v>
      </c>
      <c r="F1" s="26" t="s">
        <v>253</v>
      </c>
    </row>
    <row r="2" customFormat="false" ht="15" hidden="false" customHeight="false" outlineLevel="0" collapsed="false">
      <c r="A2" s="27" t="s">
        <v>61</v>
      </c>
      <c r="B2" s="27" t="s">
        <v>126</v>
      </c>
      <c r="C2" s="27" t="s">
        <v>254</v>
      </c>
      <c r="D2" s="27" t="s">
        <v>142</v>
      </c>
      <c r="E2" s="27" t="s">
        <v>157</v>
      </c>
      <c r="F2" s="27" t="s">
        <v>209</v>
      </c>
    </row>
    <row r="3" customFormat="false" ht="15" hidden="false" customHeight="false" outlineLevel="0" collapsed="false">
      <c r="A3" s="27" t="s">
        <v>64</v>
      </c>
      <c r="B3" s="27" t="s">
        <v>116</v>
      </c>
      <c r="C3" s="27" t="s">
        <v>117</v>
      </c>
      <c r="D3" s="27" t="s">
        <v>149</v>
      </c>
      <c r="E3" s="27" t="s">
        <v>147</v>
      </c>
      <c r="F3" s="27" t="s">
        <v>207</v>
      </c>
    </row>
    <row r="4" customFormat="false" ht="15" hidden="false" customHeight="false" outlineLevel="0" collapsed="false">
      <c r="A4" s="27" t="s">
        <v>66</v>
      </c>
      <c r="B4" s="27" t="s">
        <v>255</v>
      </c>
      <c r="C4" s="27" t="s">
        <v>256</v>
      </c>
      <c r="D4" s="27" t="s">
        <v>257</v>
      </c>
      <c r="E4" s="27" t="s">
        <v>180</v>
      </c>
      <c r="F4" s="27" t="s">
        <v>212</v>
      </c>
    </row>
    <row r="5" customFormat="false" ht="15" hidden="false" customHeight="false" outlineLevel="0" collapsed="false">
      <c r="B5" s="27" t="s">
        <v>258</v>
      </c>
      <c r="C5" s="27" t="s">
        <v>120</v>
      </c>
      <c r="D5" s="27" t="s">
        <v>171</v>
      </c>
    </row>
    <row r="6" customFormat="false" ht="15" hidden="false" customHeight="false" outlineLevel="0" collapsed="false">
      <c r="B6" s="27" t="s">
        <v>259</v>
      </c>
      <c r="D6" s="27" t="s">
        <v>159</v>
      </c>
    </row>
    <row r="7" customFormat="false" ht="15" hidden="false" customHeight="false" outlineLevel="0" collapsed="false">
      <c r="B7" s="27" t="s">
        <v>260</v>
      </c>
    </row>
    <row r="8" customFormat="false" ht="15" hidden="false" customHeight="false" outlineLevel="0" collapsed="false">
      <c r="B8" s="27" t="s">
        <v>261</v>
      </c>
    </row>
    <row r="9" customFormat="false" ht="15" hidden="false" customHeight="false" outlineLevel="0" collapsed="false">
      <c r="B9" s="27" t="s">
        <v>119</v>
      </c>
    </row>
    <row r="10" customFormat="false" ht="15" hidden="false" customHeight="false" outlineLevel="0" collapsed="false">
      <c r="B10" s="27" t="s">
        <v>262</v>
      </c>
    </row>
    <row r="11" customFormat="false" ht="15" hidden="false" customHeight="false" outlineLevel="0" collapsed="false">
      <c r="B11" s="27"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2026-09-27T04:23:18Z</dcterms:created>
  <dc:creator>openpyxl</dc:creator>
  <dc:description/>
  <dc:language>en-US</dc:language>
  <cp:lastModifiedBy/>
  <dcterms:modified xsi:type="dcterms:W3CDTF">2026-09-27T04:23:18Z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